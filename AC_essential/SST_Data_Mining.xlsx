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03"/>
  <workbookPr showInkAnnotation="0" autoCompressPictures="0"/>
  <mc:AlternateContent xmlns:mc="http://schemas.openxmlformats.org/markup-compatibility/2006">
    <mc:Choice Requires="x15">
      <x15ac:absPath xmlns:x15ac="http://schemas.microsoft.com/office/spreadsheetml/2010/11/ac" url="/Users/annachen04/Documents/Columbia/HISEAS/SST-RSOI-Git/AC_essential/"/>
    </mc:Choice>
  </mc:AlternateContent>
  <xr:revisionPtr revIDLastSave="0" documentId="13_ncr:1_{8E21EFD7-3462-4D41-915A-44C3F91345C5}" xr6:coauthVersionLast="47" xr6:coauthVersionMax="47" xr10:uidLastSave="{00000000-0000-0000-0000-000000000000}"/>
  <bookViews>
    <workbookView xWindow="3800" yWindow="-21000" windowWidth="21120" windowHeight="16540" firstSheet="8" activeTab="12" xr2:uid="{913738AC-7A4C-6D4C-81D8-75DE16F59CB7}"/>
  </bookViews>
  <sheets>
    <sheet name="TEMPLATE" sheetId="100" r:id="rId1"/>
    <sheet name="ODP1148_TEX86" sheetId="120" r:id="rId2"/>
    <sheet name="ODP1148_UK37" sheetId="119" r:id="rId3"/>
    <sheet name="IODP-U1446" sheetId="121" r:id="rId4"/>
    <sheet name="KNR191_CDH19" sheetId="122" r:id="rId5"/>
    <sheet name="ODP1016C" sheetId="124" r:id="rId6"/>
    <sheet name="ODP1014A" sheetId="123" r:id="rId7"/>
    <sheet name="ODP999A" sheetId="126" r:id="rId8"/>
    <sheet name="U939" sheetId="127" r:id="rId9"/>
    <sheet name="SO136-111" sheetId="128" r:id="rId10"/>
    <sheet name="MD02-2575" sheetId="129" r:id="rId11"/>
    <sheet name="RC10-62" sheetId="138" r:id="rId12"/>
    <sheet name="RC13-110" sheetId="137" r:id="rId13"/>
    <sheet name="RC13-115" sheetId="136" r:id="rId14"/>
    <sheet name="V19-29" sheetId="135" r:id="rId15"/>
    <sheet name="VNTR1-8" sheetId="134" r:id="rId16"/>
    <sheet name="Y69-106P" sheetId="133" r:id="rId17"/>
    <sheet name="Y69-71P" sheetId="132" r:id="rId18"/>
    <sheet name="Y71-3-2" sheetId="131" r:id="rId19"/>
    <sheet name="Y71-9-101" sheetId="139" r:id="rId20"/>
    <sheet name="Y71-6-12" sheetId="130" r:id="rId21"/>
    <sheet name="ODP1239" sheetId="140" r:id="rId22"/>
    <sheet name="NH22P" sheetId="141" r:id="rId23"/>
    <sheet name="TR163-19" sheetId="142" r:id="rId24"/>
    <sheet name="SK157-4" sheetId="143" r:id="rId25"/>
    <sheet name="Sample" sheetId="3" r:id="rId26"/>
  </sheet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S15" i="142" l="1"/>
  <c r="S3" i="142"/>
  <c r="S4" i="142"/>
  <c r="S5" i="142"/>
  <c r="S6" i="142"/>
  <c r="S7" i="142"/>
  <c r="S8" i="142"/>
  <c r="S9" i="142"/>
  <c r="S10" i="142"/>
  <c r="S11" i="142"/>
  <c r="S12" i="142"/>
  <c r="S13" i="142"/>
  <c r="S14" i="142"/>
  <c r="U3" i="142"/>
  <c r="U4" i="142"/>
  <c r="U5" i="142"/>
  <c r="U6" i="142"/>
  <c r="U7" i="142"/>
  <c r="U8" i="142"/>
  <c r="U9" i="142"/>
  <c r="U10" i="142"/>
  <c r="U11" i="142"/>
  <c r="U12" i="142"/>
  <c r="U13" i="142"/>
  <c r="U14" i="142"/>
  <c r="U15" i="142"/>
  <c r="U2" i="142"/>
  <c r="S2" i="1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Anna Chen</author>
  </authors>
  <commentList>
    <comment ref="M1" authorId="0" shapeId="0" xr:uid="{9A93F69D-51C8-D44B-8857-38BCBD2CD0A2}">
      <text>
        <r>
          <rPr>
            <b/>
            <sz val="10"/>
            <color rgb="FF000000"/>
            <rFont val="Tahoma"/>
            <family val="2"/>
          </rPr>
          <t>Anna Chen:</t>
        </r>
        <r>
          <rPr>
            <sz val="10"/>
            <color rgb="FF000000"/>
            <rFont val="Tahoma"/>
            <family val="2"/>
          </rPr>
          <t xml:space="preserve">
</t>
        </r>
        <r>
          <rPr>
            <sz val="10"/>
            <color rgb="FF000000"/>
            <rFont val="Tahoma"/>
            <family val="2"/>
          </rPr>
          <t>Thiis is delta O18 PDB from Globigerinoides ruber (white)</t>
        </r>
      </text>
    </comment>
  </commentList>
</comments>
</file>

<file path=xl/sharedStrings.xml><?xml version="1.0" encoding="utf-8"?>
<sst xmlns="http://schemas.openxmlformats.org/spreadsheetml/2006/main" count="820" uniqueCount="127">
  <si>
    <t>Depth (cm)</t>
  </si>
  <si>
    <t>Hadley Bias Correction</t>
  </si>
  <si>
    <t>Hadley uncertainty</t>
  </si>
  <si>
    <t>TF Uncertainty</t>
  </si>
  <si>
    <t>SS Uncertainty</t>
  </si>
  <si>
    <t>Longitude</t>
  </si>
  <si>
    <t>Tie Point Depth (cm)</t>
  </si>
  <si>
    <t>Tie Point Age (yr)</t>
  </si>
  <si>
    <t>Tie Point Uncertainty (yr)</t>
  </si>
  <si>
    <t>Age (yr)</t>
  </si>
  <si>
    <t>Benthic d18O Depth (cm)</t>
  </si>
  <si>
    <t>UK37</t>
  </si>
  <si>
    <t>ID</t>
  </si>
  <si>
    <t>Latitude</t>
  </si>
  <si>
    <t>Proxy</t>
  </si>
  <si>
    <t>SST (ºC)</t>
  </si>
  <si>
    <t>Biascorr</t>
  </si>
  <si>
    <t>SST -2sd</t>
  </si>
  <si>
    <t>SST mean</t>
  </si>
  <si>
    <t>SST +2sd</t>
  </si>
  <si>
    <t>MgCa</t>
  </si>
  <si>
    <t>Note: these data are absent in most sheets</t>
  </si>
  <si>
    <t>Note: because we have 1 sheet per proxy, these data are inferred from the same proxy.</t>
  </si>
  <si>
    <t>Proxy Value</t>
  </si>
  <si>
    <t>Benthic d18O (per mil)</t>
  </si>
  <si>
    <t>ODP1148</t>
  </si>
  <si>
    <t xml:space="preserve">0.924 </t>
  </si>
  <si>
    <t xml:space="preserve">26.7 </t>
  </si>
  <si>
    <t xml:space="preserve">18.8 </t>
  </si>
  <si>
    <t xml:space="preserve">0.970 </t>
  </si>
  <si>
    <t xml:space="preserve">28.1 </t>
  </si>
  <si>
    <t xml:space="preserve">21.2 </t>
  </si>
  <si>
    <t xml:space="preserve">0.955 </t>
  </si>
  <si>
    <t xml:space="preserve">27.6 </t>
  </si>
  <si>
    <t xml:space="preserve">20.2 </t>
  </si>
  <si>
    <t xml:space="preserve">0.874 </t>
  </si>
  <si>
    <t xml:space="preserve">25.2 </t>
  </si>
  <si>
    <t xml:space="preserve">18.4 </t>
  </si>
  <si>
    <t xml:space="preserve">0.824 </t>
  </si>
  <si>
    <t xml:space="preserve">23.6 </t>
  </si>
  <si>
    <t xml:space="preserve">17.4 </t>
  </si>
  <si>
    <t xml:space="preserve">0.842 </t>
  </si>
  <si>
    <t xml:space="preserve">24.2 </t>
  </si>
  <si>
    <t>Data Link</t>
  </si>
  <si>
    <t>https://www.ncei.noaa.gov/pub/data/paleo/contributions_by_author/li2017/li2017.txt</t>
  </si>
  <si>
    <t>Publication</t>
  </si>
  <si>
    <t>Li, D., M. Zhao, and J. Tian. 2017. Low-high latitude interaction forcing on the evolution of the 400 kyr cycle in East Asian winter monsoon records during the last 2.8 Myr. Quaternary Science Reviews, 172, 72-82. doi: 10.1016/j.quascirev.2017.08.005</t>
  </si>
  <si>
    <t>TEX86</t>
  </si>
  <si>
    <t>Method</t>
  </si>
  <si>
    <t>UK37 calculated after Prahl and Wakeham (1987), UK37 SST reconstruction calculated after Mueller et al.(1998)</t>
  </si>
  <si>
    <t>Chronology Info</t>
  </si>
  <si>
    <t>IODP-U1446</t>
  </si>
  <si>
    <t>Clemens, Steven; Yamamoto, Masanobu; Thirumalai, Kaustubh; Giosan, Liviu; Richey, Julie N.; Nilsson-Kerr, Katrina; Rosenthal, Yair; Anand, Pallavi; McGrath, Sarah M. 2021. Remote and Local Drivers of Pleistocene South Asian Summer Monsoon Precipitation: A Test for Future Predictions. Science Advances, 7(23), eabg3848. doi: 10.1126/sciadv.abg3848</t>
  </si>
  <si>
    <t>https://www.ncei.noaa.gov/pub/data/paleo/contributions_by_author/clemens2021/clemens2021-u1446-mgca-noaa.txt</t>
  </si>
  <si>
    <t>Analytical facility: Kerr (Open Univ.)</t>
  </si>
  <si>
    <t>Elevation (m)</t>
  </si>
  <si>
    <t>Age model was generated by correlating XRF Ca counts in CDH19 to carbonate measurements made in core MD95-2036.</t>
  </si>
  <si>
    <t>KNR191_CDH19</t>
  </si>
  <si>
    <t>https://www.ncei.noaa.gov/pub/data/paleo/contributions_by_author/henry2016/henry2016sst.txt</t>
  </si>
  <si>
    <t>L.G. Henry, J.F. McManus, W.B. Curry, N.L. Roberts, A.M. Piotrowski, L.D. Keigwin. 2016. North Atlantic ocean circulation and abrupt climate change during the last glaciation. Science, 353(6298), 470-474. doi: 10.1126/science.aaf5529</t>
  </si>
  <si>
    <t>ODP1014A</t>
  </si>
  <si>
    <t>uk37 proxy value reports Alkenone saturation index.  #   Alkenones and alkenoates were analyzed following the method of Yamamoto et al. (2000). UK'37 was calculated from the concentrations of di- and tri-unsaturated C37 alken-2-ones [C37MK] using the method of Prahl et al., (1988).</t>
  </si>
  <si>
    <t>https://www.ncei.noaa.gov/pub/data/paleo/paleocean/sediment_files/complete/odp1014a-tab.txt</t>
  </si>
  <si>
    <t>Yamamoto, M., M. Yamamuro, and Y. Tanaka. 2007. The California current system during the last 136,000 years: response of the North Pacific High to precessional forcing. Quaternary Science Reviews, 26(3-4), 405-414. doi: 10.1016/j.quascirev.2006.07.014</t>
  </si>
  <si>
    <t>https://www.ncei.noaa.gov/pub/data/paleo/paleocean/sediment_files/complete/odp1016c-tab.txt</t>
  </si>
  <si>
    <t>ODP1016C</t>
  </si>
  <si>
    <t>ODP999A</t>
  </si>
  <si>
    <t>Schmidt, M.W., H.J. Spero, and D.W. Lea. 2004. Links between salinity variation in the Caribbean and North Atlantic thermohaline circulation. Nature, 428, 160-163. doi: 10.1038/nature02346</t>
  </si>
  <si>
    <t>https://www.ncei.noaa.gov/pub/data/paleo/paleocean/sediment_files/complete/odp999a-tab.txt</t>
  </si>
  <si>
    <t>d18Ocalcite are measurements on the planktic foraminifera Globigerinoides ruber, which are used to reconstruct d18O seawater. d18Ocalcite and d18Osw are reported as extra columns to avoid confusion with Hoffman et al.'s convensions</t>
  </si>
  <si>
    <t>d18O_calcite</t>
  </si>
  <si>
    <t>d18O_sw</t>
  </si>
  <si>
    <t>U939</t>
  </si>
  <si>
    <t>https://www.ncei.noaa.gov/pub/data/paleo/paleocean/sediment_files/complete/u939-tab.txt</t>
  </si>
  <si>
    <t xml:space="preserve">uk37 proxy values are Alkenone saturation index. Subsurface Uk37 SST calculated using Prahl and Wakeham [1998] (Uk'37 = 0.034T+0.039). One sigma =1.0°C Antarctic CRC/CSIRO Oceanography. </t>
  </si>
  <si>
    <t>Sikes, E.L., W.R. Howard, H.L. Neil, and J.K. Volkman. 2002. Glacial-interglacial sea surface temperature changes across the subtropical front east of New Zealand based on alkenone unsaturation ratios and foraminiferal assemblages. Paleoceanography, 17(2), 1012. doi: 10.1029/2001PA000640</t>
  </si>
  <si>
    <t>Diatom</t>
  </si>
  <si>
    <t>https://www.ncei.noaa.gov/pub/data/paleo/contributions_by_author/crosta2004/crosta2004.txt</t>
  </si>
  <si>
    <t>Crosta, X., A. Sturm, L. Armand, and J.-J. Pichon. 2004. Late Quaternary sea ice history in the Indian sector of the Southern Ocean as recorded by diatom assemblages. Marine Micropaleontology, 50, 209-223. doi: 10.1016/S0377-8398(03)00072-0</t>
  </si>
  <si>
    <t>SO136-111</t>
  </si>
  <si>
    <t xml:space="preserve">NOTE: SST is February reconstruction.
A Modern Analog Technique (MAT5201/31) has been applied to fossil diatom assemblages to provide down-core estimates of February sea-surface temperatures (SSTs) </t>
  </si>
  <si>
    <t>Nürnberg, D., M. Ziegler, C. Karas, R. Tiedemann, and M. Schmidt. 2008. Interacting Loop Current variability and Mississippi River discharge over the past 400 kyr. Earth and Planetary Science Letters, 272(1-2), 278-289. doi: 10.1016/j.epsl.2008.04.051</t>
  </si>
  <si>
    <t>https://www.ncei.noaa.gov/pub/data/paleo/paleocean/sediment_files/complete/md2-2575-tab.txt</t>
  </si>
  <si>
    <t>MD02-2575</t>
  </si>
  <si>
    <t>The data link provides "delta d18O PDB" time series from two species: Globigerinoides ruber (white) and Uvigerina peregrina. However, because G. ruber is used to provide the Mg/Ca ratio which is used to infer SST, the d18O column in this spreadsheet uses the delta d18O PDB data from G. ruber. The U. peregrina time series is still available through the data link.</t>
  </si>
  <si>
    <t>RC10-62</t>
  </si>
  <si>
    <t>Radiolaria</t>
  </si>
  <si>
    <t>RC13-110</t>
  </si>
  <si>
    <t>Pisias, N.G., and A.C. Mix. 1997. Spatial and temporal oceanographic variability of the eastern equatorial Pacific during the late Pleistocene: Evidence from Radiolaria microfossils. Paleoceanography, 12(3), 381-393. doi: 10.1029/97PA00583</t>
  </si>
  <si>
    <t>https://www.ncei.noaa.gov/pub/data/paleo/contributions_by_author/pisias1997b/rc10-62_sst.ager</t>
  </si>
  <si>
    <t>https://www.ncei.noaa.gov/pub/data/paleo/contributions_by_author/pisias1997b/rc13-110_sst.ager</t>
  </si>
  <si>
    <t>https://www.ncei.noaa.gov/pub/data/paleo/contributions_by_author/pisias1997b/rc13-115_sst.ager</t>
  </si>
  <si>
    <t>RC13-115</t>
  </si>
  <si>
    <t>V19-29</t>
  </si>
  <si>
    <t>https://www.ncei.noaa.gov/pub/data/paleo/contributions_by_author/pisias1997b/v19-29_sst.ager</t>
  </si>
  <si>
    <t>VNTR1-8</t>
  </si>
  <si>
    <t>https://www.ncei.noaa.gov/pub/data/paleo/contributions_by_author/pisias1997b/vntr1-8_sst.ager</t>
  </si>
  <si>
    <t>Y69-106P</t>
  </si>
  <si>
    <t>https://www.ncei.noaa.gov/pub/data/paleo/contributions_by_author/pisias1997b/y69-106p_sst.ager</t>
  </si>
  <si>
    <t>Y69-71P</t>
  </si>
  <si>
    <t>https://www.ncei.noaa.gov/pub/data/paleo/contributions_by_author/pisias1997b/y69-71p_sst.ager</t>
  </si>
  <si>
    <t>https://www.ncei.noaa.gov/pub/data/paleo/contributions_by_author/pisias1997b/y71-3-2_sst.ager</t>
  </si>
  <si>
    <t>Y71-3-2</t>
  </si>
  <si>
    <t>https://www.ncei.noaa.gov/pub/data/paleo/contributions_by_author/pisias1997b/y71-6-12_sst.ager</t>
  </si>
  <si>
    <t>Y71-6-12</t>
  </si>
  <si>
    <t>Y71-9-101</t>
  </si>
  <si>
    <t>https://www.ncei.noaa.gov/pub/data/paleo/contributions_by_author/pisias1997b/y71-9-101_sst.ager</t>
  </si>
  <si>
    <t>ODP1239</t>
  </si>
  <si>
    <t>derived from alignment of benthic d18O with global LR04 stack</t>
  </si>
  <si>
    <t>https://www.ncei.noaa.gov/pub/data/paleo/contributions_by_author/dyez2016/dyez2016-sst-merge.txt</t>
  </si>
  <si>
    <t>Dyez, K.A., A.C. Ravelo, and A.C. Mix. 2016. Evaluating drivers of Pleistocene eastern tropical Pacific sea surface temperature. Paleoceanography, 31. doi: 10.1002/2015PA002873</t>
  </si>
  <si>
    <t>Stack is a synthesis of multiple studies.
SST derived from Uk'37 using Müller et al., 1998 calibration SST = (Uk'37 - 0.044) / 0.033
d18O: average of Uvigerina and Cibicidoides d18O, after Cibicidoides value was corrected for species offset</t>
  </si>
  <si>
    <t>NH22P</t>
  </si>
  <si>
    <t>https://www.ncei.noaa.gov/pub/data/paleo/reconstructions/kumar2022/nh22p_kumar2022.txt</t>
  </si>
  <si>
    <t>Meegan Kumar, Dervla; Tierney, Jessica E.; Bhattacharya, Tripti; Zhu, Jiang; Murray, James W. 2022. Glacial warming in the Eastern Pacific Warm Pool. Geophysical Research Letters, 49(10), e2022GL098830. doi: 10.1029/2022GL098830</t>
  </si>
  <si>
    <t>Chronology more recent than ~54000 ka calibrated to Marine20 curve. Before ~54 ka, calibrated according to correlation to Lisiecki et al. 2005</t>
  </si>
  <si>
    <t>Uk37: gas chromatography - flame ionization detection</t>
  </si>
  <si>
    <t>TR163-19</t>
  </si>
  <si>
    <t>Cocos Ridge, Eastern tropical Pacific, foraminiferal Mg/Ca and SST reconstruction.
Mg/Ca data on cleaned G. ruber shells by ICP-MS, 417 individual data points 
from Lea et al. 2000, and 76 new data points from 39 depth intervals, 
total data points 493, total depth intervals 208. 
SST estimates based on depth/basin-corrected calibration in Dekens et al., 2002: 
SST(deg C) = LN((Mg/Ca-m)/0.38)/0.09+0.61*2.348+1.6
Data precision: Mg/Ca, ±2.1%; SST (est.), ±0.6°C</t>
  </si>
  <si>
    <t xml:space="preserve">Conversion of core depth to age is based on the 
timescale for core V19-30 in Shackleton (2000). 
Benthic O18 from TR163-19 was tied to V19-30 O18. 
A calibrated radiocarbon age was used for the core-top only. </t>
  </si>
  <si>
    <t>https://www.ncei.noaa.gov/pub/data/paleo/contributions_by_author/lea2004/lea2004.txt</t>
  </si>
  <si>
    <t>Lea, D.W. 2004. The 100,000 year cycle in tropical SST, greenhouse forcing, and climate sensitivity. Journal of Climate, 17(11), 2170-2179. doi: 10.1175/1520-0442(2004)017&lt;2170:TYCITS&gt;2.0.CO;2</t>
  </si>
  <si>
    <t>SK157-4</t>
  </si>
  <si>
    <t>Saraswat, R., R. Nigam, S. Weldeab, A. Mackensen, and P.D. Naidu. 2005. A first look at past sea surface temperatures in the equatorial Indian Ocean from Mg/Ca in foraminifera. Geophysical Research Letters, 32(24), L24605. doi: 10.1029/2005GL024093</t>
  </si>
  <si>
    <t>https://www.ncei.noaa.gov/pub/data/paleo/paleocean/sediment_files/complete/sk157_4-tab.txt</t>
  </si>
  <si>
    <t>The Mg/Ca ratio was converted to SST using the depth corrected G. ruber Mg/Ca-SST calibration of Dekens et al. [2002]: (Mg/Ca = 0.38 exp 0.09 [SST - 0.61 (core depth km)]).</t>
  </si>
  <si>
    <t>Radiocarbon years B.P. (Libby half-life; B.P. = 1950)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</si>
</sst>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6" x14ac:knownFonts="1">
    <font>
      <sz val="12"/>
      <color theme="1"/>
      <name val="Helvetica"/>
      <family val="2"/>
    </font>
    <font>
      <sz val="10"/>
      <name val="Arial"/>
      <family val="2"/>
    </font>
    <font>
      <u/>
      <sz val="12"/>
      <color theme="10"/>
      <name val="Helvetica"/>
      <family val="2"/>
    </font>
    <font>
      <u/>
      <sz val="12"/>
      <color theme="11"/>
      <name val="Helvetica"/>
      <family val="2"/>
    </font>
    <font>
      <sz val="10"/>
      <name val="Verdana"/>
      <family val="2"/>
    </font>
    <font>
      <sz val="12"/>
      <color theme="1"/>
      <name val="Calibri"/>
      <family val="2"/>
      <scheme val="minor"/>
    </font>
    <font>
      <sz val="8"/>
      <name val="Helvetica"/>
      <family val="2"/>
    </font>
    <font>
      <b/>
      <sz val="12"/>
      <color theme="1"/>
      <name val="Helvetica"/>
      <family val="2"/>
    </font>
    <font>
      <b/>
      <sz val="12"/>
      <color theme="1"/>
      <name val="Calibri"/>
      <family val="2"/>
      <scheme val="minor"/>
    </font>
    <font>
      <b/>
      <sz val="11"/>
      <color theme="1"/>
      <name val="Calibri"/>
      <family val="2"/>
    </font>
    <font>
      <sz val="11"/>
      <color theme="1"/>
      <name val="Calibri"/>
      <family val="2"/>
    </font>
    <font>
      <sz val="10"/>
      <color rgb="FF000000"/>
      <name val="Arial Unicode MS"/>
      <family val="2"/>
    </font>
    <font>
      <sz val="10"/>
      <name val="Geneva"/>
      <family val="2"/>
    </font>
    <font>
      <sz val="10"/>
      <color rgb="FF000000"/>
      <name val="Tahoma"/>
      <family val="2"/>
    </font>
    <font>
      <b/>
      <sz val="10"/>
      <color rgb="FF000000"/>
      <name val="Tahoma"/>
      <family val="2"/>
    </font>
    <font>
      <sz val="12"/>
      <color rgb="FF000000"/>
      <name val="Aptos Narrow"/>
      <family val="2"/>
    </font>
  </fonts>
  <fills count="3">
    <fill>
      <patternFill patternType="none"/>
    </fill>
    <fill>
      <patternFill patternType="gray125"/>
    </fill>
    <fill>
      <patternFill patternType="solid">
        <fgColor theme="5" tint="0.7999816888943144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s>
  <cellStyleXfs count="1497">
    <xf numFmtId="0" fontId="0" fillId="0" borderId="0"/>
    <xf numFmtId="0" fontId="1"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4"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5" fillId="0" borderId="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2" fillId="0" borderId="0" applyNumberFormat="0" applyFill="0" applyBorder="0" applyAlignment="0" applyProtection="0"/>
  </cellStyleXfs>
  <cellXfs count="30">
    <xf numFmtId="0" fontId="0" fillId="0" borderId="0" xfId="0"/>
    <xf numFmtId="2" fontId="0" fillId="0" borderId="0" xfId="0" applyNumberFormat="1"/>
    <xf numFmtId="0" fontId="8" fillId="0" borderId="0" xfId="0" applyFont="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wrapText="1"/>
    </xf>
    <xf numFmtId="49" fontId="8" fillId="0" borderId="1" xfId="0" applyNumberFormat="1" applyFont="1" applyBorder="1" applyAlignment="1">
      <alignment horizontal="center" vertical="center" wrapText="1"/>
    </xf>
    <xf numFmtId="49" fontId="0" fillId="0" borderId="0" xfId="0" applyNumberFormat="1"/>
    <xf numFmtId="49" fontId="7" fillId="0" borderId="1" xfId="0" applyNumberFormat="1" applyFont="1" applyBorder="1" applyAlignment="1">
      <alignment horizontal="center" vertical="center" wrapText="1"/>
    </xf>
    <xf numFmtId="49" fontId="8" fillId="0" borderId="0" xfId="0" applyNumberFormat="1" applyFont="1" applyAlignment="1">
      <alignment horizontal="center" vertical="center" wrapText="1"/>
    </xf>
    <xf numFmtId="49" fontId="9" fillId="0" borderId="0" xfId="0" applyNumberFormat="1" applyFont="1"/>
    <xf numFmtId="49" fontId="10" fillId="0" borderId="0" xfId="0" applyNumberFormat="1" applyFont="1"/>
    <xf numFmtId="49" fontId="1" fillId="0" borderId="0" xfId="1" applyNumberFormat="1"/>
    <xf numFmtId="0" fontId="10" fillId="0" borderId="0" xfId="0" applyFont="1"/>
    <xf numFmtId="49" fontId="2" fillId="0" borderId="0" xfId="1496" applyNumberFormat="1"/>
    <xf numFmtId="49" fontId="11" fillId="0" borderId="0" xfId="0" applyNumberFormat="1" applyFont="1"/>
    <xf numFmtId="0" fontId="1" fillId="0" borderId="0" xfId="1"/>
    <xf numFmtId="2" fontId="10" fillId="0" borderId="0" xfId="0" applyNumberFormat="1" applyFont="1"/>
    <xf numFmtId="2" fontId="1" fillId="0" borderId="0" xfId="1" applyNumberFormat="1"/>
    <xf numFmtId="2" fontId="11" fillId="0" borderId="0" xfId="0" applyNumberFormat="1" applyFont="1"/>
    <xf numFmtId="1" fontId="1" fillId="0" borderId="0" xfId="1" applyNumberFormat="1"/>
    <xf numFmtId="1" fontId="0" fillId="0" borderId="0" xfId="0" applyNumberFormat="1"/>
    <xf numFmtId="49" fontId="1" fillId="2" borderId="0" xfId="1" applyNumberFormat="1" applyFill="1"/>
    <xf numFmtId="1" fontId="12" fillId="0" borderId="0" xfId="0" applyNumberFormat="1" applyFont="1"/>
    <xf numFmtId="0" fontId="12" fillId="0" borderId="0" xfId="0" applyFont="1"/>
    <xf numFmtId="164" fontId="0" fillId="0" borderId="0" xfId="0" applyNumberFormat="1"/>
    <xf numFmtId="0" fontId="15" fillId="0" borderId="0" xfId="0" applyFont="1"/>
    <xf numFmtId="0" fontId="11" fillId="0" borderId="0" xfId="0" applyFont="1"/>
    <xf numFmtId="0" fontId="0" fillId="0" borderId="0" xfId="0" applyAlignment="1">
      <alignment horizontal="center"/>
    </xf>
    <xf numFmtId="0" fontId="0" fillId="0" borderId="2" xfId="0" applyBorder="1" applyAlignment="1">
      <alignment horizontal="center"/>
    </xf>
    <xf numFmtId="0" fontId="0" fillId="0" borderId="0" xfId="0" applyNumberFormat="1"/>
  </cellXfs>
  <cellStyles count="1497">
    <cellStyle name="Followed Hyperlink" xfId="3" builtinId="9" hidden="1"/>
    <cellStyle name="Followed Hyperlink" xfId="5" builtinId="9" hidden="1"/>
    <cellStyle name="Followed Hyperlink" xfId="7" builtinId="9" hidden="1"/>
    <cellStyle name="Followed Hyperlink" xfId="9" builtinId="9" hidden="1"/>
    <cellStyle name="Followed Hyperlink" xfId="11" builtinId="9" hidden="1"/>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9" builtinId="9" hidden="1"/>
    <cellStyle name="Followed Hyperlink" xfId="411" builtinId="9" hidden="1"/>
    <cellStyle name="Followed Hyperlink" xfId="413" builtinId="9" hidden="1"/>
    <cellStyle name="Followed Hyperlink" xfId="415" builtinId="9" hidden="1"/>
    <cellStyle name="Followed Hyperlink" xfId="417" builtinId="9" hidden="1"/>
    <cellStyle name="Followed Hyperlink" xfId="419" builtinId="9" hidden="1"/>
    <cellStyle name="Followed Hyperlink" xfId="421" builtinId="9" hidden="1"/>
    <cellStyle name="Followed Hyperlink" xfId="423" builtinId="9" hidden="1"/>
    <cellStyle name="Followed Hyperlink" xfId="425" builtinId="9" hidden="1"/>
    <cellStyle name="Followed Hyperlink" xfId="427" builtinId="9" hidden="1"/>
    <cellStyle name="Followed Hyperlink" xfId="429" builtinId="9" hidden="1"/>
    <cellStyle name="Followed Hyperlink" xfId="431" builtinId="9" hidden="1"/>
    <cellStyle name="Followed Hyperlink" xfId="433" builtinId="9" hidden="1"/>
    <cellStyle name="Followed Hyperlink" xfId="435" builtinId="9" hidden="1"/>
    <cellStyle name="Followed Hyperlink" xfId="437" builtinId="9" hidden="1"/>
    <cellStyle name="Followed Hyperlink" xfId="439" builtinId="9" hidden="1"/>
    <cellStyle name="Followed Hyperlink" xfId="441" builtinId="9" hidden="1"/>
    <cellStyle name="Followed Hyperlink" xfId="443" builtinId="9" hidden="1"/>
    <cellStyle name="Followed Hyperlink" xfId="445" builtinId="9" hidden="1"/>
    <cellStyle name="Followed Hyperlink" xfId="447" builtinId="9" hidden="1"/>
    <cellStyle name="Followed Hyperlink" xfId="449" builtinId="9" hidden="1"/>
    <cellStyle name="Followed Hyperlink" xfId="451" builtinId="9" hidden="1"/>
    <cellStyle name="Followed Hyperlink" xfId="453" builtinId="9" hidden="1"/>
    <cellStyle name="Followed Hyperlink" xfId="455" builtinId="9" hidden="1"/>
    <cellStyle name="Followed Hyperlink" xfId="457" builtinId="9" hidden="1"/>
    <cellStyle name="Followed Hyperlink" xfId="459" builtinId="9" hidden="1"/>
    <cellStyle name="Followed Hyperlink" xfId="461" builtinId="9" hidden="1"/>
    <cellStyle name="Followed Hyperlink" xfId="463" builtinId="9" hidden="1"/>
    <cellStyle name="Followed Hyperlink" xfId="465" builtinId="9" hidden="1"/>
    <cellStyle name="Followed Hyperlink" xfId="467" builtinId="9" hidden="1"/>
    <cellStyle name="Followed Hyperlink" xfId="469" builtinId="9" hidden="1"/>
    <cellStyle name="Followed Hyperlink" xfId="471" builtinId="9" hidden="1"/>
    <cellStyle name="Followed Hyperlink" xfId="473" builtinId="9" hidden="1"/>
    <cellStyle name="Followed Hyperlink" xfId="475" builtinId="9" hidden="1"/>
    <cellStyle name="Followed Hyperlink" xfId="477" builtinId="9" hidden="1"/>
    <cellStyle name="Followed Hyperlink" xfId="479" builtinId="9" hidden="1"/>
    <cellStyle name="Followed Hyperlink" xfId="481" builtinId="9" hidden="1"/>
    <cellStyle name="Followed Hyperlink" xfId="483" builtinId="9" hidden="1"/>
    <cellStyle name="Followed Hyperlink" xfId="485" builtinId="9" hidden="1"/>
    <cellStyle name="Followed Hyperlink" xfId="487" builtinId="9" hidden="1"/>
    <cellStyle name="Followed Hyperlink" xfId="489" builtinId="9" hidden="1"/>
    <cellStyle name="Followed Hyperlink" xfId="491" builtinId="9" hidden="1"/>
    <cellStyle name="Followed Hyperlink" xfId="493" builtinId="9" hidden="1"/>
    <cellStyle name="Followed Hyperlink" xfId="495" builtinId="9" hidden="1"/>
    <cellStyle name="Followed Hyperlink" xfId="497" builtinId="9" hidden="1"/>
    <cellStyle name="Followed Hyperlink" xfId="499" builtinId="9" hidden="1"/>
    <cellStyle name="Followed Hyperlink" xfId="501" builtinId="9" hidden="1"/>
    <cellStyle name="Followed Hyperlink" xfId="503" builtinId="9" hidden="1"/>
    <cellStyle name="Followed Hyperlink" xfId="505" builtinId="9" hidden="1"/>
    <cellStyle name="Followed Hyperlink" xfId="507" builtinId="9" hidden="1"/>
    <cellStyle name="Followed Hyperlink" xfId="509" builtinId="9" hidden="1"/>
    <cellStyle name="Followed Hyperlink" xfId="511" builtinId="9" hidden="1"/>
    <cellStyle name="Followed Hyperlink" xfId="513" builtinId="9" hidden="1"/>
    <cellStyle name="Followed Hyperlink" xfId="515" builtinId="9" hidden="1"/>
    <cellStyle name="Followed Hyperlink" xfId="517" builtinId="9" hidden="1"/>
    <cellStyle name="Followed Hyperlink" xfId="519" builtinId="9" hidden="1"/>
    <cellStyle name="Followed Hyperlink" xfId="521" builtinId="9" hidden="1"/>
    <cellStyle name="Followed Hyperlink" xfId="523" builtinId="9" hidden="1"/>
    <cellStyle name="Followed Hyperlink" xfId="525" builtinId="9" hidden="1"/>
    <cellStyle name="Followed Hyperlink" xfId="527" builtinId="9" hidden="1"/>
    <cellStyle name="Followed Hyperlink" xfId="529" builtinId="9" hidden="1"/>
    <cellStyle name="Followed Hyperlink" xfId="531" builtinId="9" hidden="1"/>
    <cellStyle name="Followed Hyperlink" xfId="533" builtinId="9" hidden="1"/>
    <cellStyle name="Followed Hyperlink" xfId="535" builtinId="9" hidden="1"/>
    <cellStyle name="Followed Hyperlink" xfId="537" builtinId="9" hidden="1"/>
    <cellStyle name="Followed Hyperlink" xfId="539" builtinId="9" hidden="1"/>
    <cellStyle name="Followed Hyperlink" xfId="541" builtinId="9" hidden="1"/>
    <cellStyle name="Followed Hyperlink" xfId="543" builtinId="9" hidden="1"/>
    <cellStyle name="Followed Hyperlink" xfId="545" builtinId="9" hidden="1"/>
    <cellStyle name="Followed Hyperlink" xfId="547" builtinId="9" hidden="1"/>
    <cellStyle name="Followed Hyperlink" xfId="549" builtinId="9" hidden="1"/>
    <cellStyle name="Followed Hyperlink" xfId="551" builtinId="9" hidden="1"/>
    <cellStyle name="Followed Hyperlink" xfId="553" builtinId="9" hidden="1"/>
    <cellStyle name="Followed Hyperlink" xfId="555" builtinId="9" hidden="1"/>
    <cellStyle name="Followed Hyperlink" xfId="557" builtinId="9" hidden="1"/>
    <cellStyle name="Followed Hyperlink" xfId="559" builtinId="9" hidden="1"/>
    <cellStyle name="Followed Hyperlink" xfId="561" builtinId="9" hidden="1"/>
    <cellStyle name="Followed Hyperlink" xfId="563" builtinId="9" hidden="1"/>
    <cellStyle name="Followed Hyperlink" xfId="565" builtinId="9" hidden="1"/>
    <cellStyle name="Followed Hyperlink" xfId="567" builtinId="9" hidden="1"/>
    <cellStyle name="Followed Hyperlink" xfId="569" builtinId="9" hidden="1"/>
    <cellStyle name="Followed Hyperlink" xfId="571" builtinId="9" hidden="1"/>
    <cellStyle name="Followed Hyperlink" xfId="573" builtinId="9" hidden="1"/>
    <cellStyle name="Followed Hyperlink" xfId="575" builtinId="9" hidden="1"/>
    <cellStyle name="Followed Hyperlink" xfId="577" builtinId="9" hidden="1"/>
    <cellStyle name="Followed Hyperlink" xfId="579" builtinId="9" hidden="1"/>
    <cellStyle name="Followed Hyperlink" xfId="581" builtinId="9" hidden="1"/>
    <cellStyle name="Followed Hyperlink" xfId="583" builtinId="9" hidden="1"/>
    <cellStyle name="Followed Hyperlink" xfId="585" builtinId="9" hidden="1"/>
    <cellStyle name="Followed Hyperlink" xfId="587" builtinId="9" hidden="1"/>
    <cellStyle name="Followed Hyperlink" xfId="589" builtinId="9" hidden="1"/>
    <cellStyle name="Followed Hyperlink" xfId="591" builtinId="9" hidden="1"/>
    <cellStyle name="Followed Hyperlink" xfId="593" builtinId="9" hidden="1"/>
    <cellStyle name="Followed Hyperlink" xfId="595" builtinId="9" hidden="1"/>
    <cellStyle name="Followed Hyperlink" xfId="597" builtinId="9" hidden="1"/>
    <cellStyle name="Followed Hyperlink" xfId="599" builtinId="9" hidden="1"/>
    <cellStyle name="Followed Hyperlink" xfId="601" builtinId="9" hidden="1"/>
    <cellStyle name="Followed Hyperlink" xfId="603" builtinId="9" hidden="1"/>
    <cellStyle name="Followed Hyperlink" xfId="605" builtinId="9" hidden="1"/>
    <cellStyle name="Followed Hyperlink" xfId="607" builtinId="9" hidden="1"/>
    <cellStyle name="Followed Hyperlink" xfId="609" builtinId="9" hidden="1"/>
    <cellStyle name="Followed Hyperlink" xfId="611" builtinId="9" hidden="1"/>
    <cellStyle name="Followed Hyperlink" xfId="613" builtinId="9" hidden="1"/>
    <cellStyle name="Followed Hyperlink" xfId="615" builtinId="9" hidden="1"/>
    <cellStyle name="Followed Hyperlink" xfId="617" builtinId="9" hidden="1"/>
    <cellStyle name="Followed Hyperlink" xfId="619" builtinId="9" hidden="1"/>
    <cellStyle name="Followed Hyperlink" xfId="621" builtinId="9" hidden="1"/>
    <cellStyle name="Followed Hyperlink" xfId="623" builtinId="9" hidden="1"/>
    <cellStyle name="Followed Hyperlink" xfId="625" builtinId="9" hidden="1"/>
    <cellStyle name="Followed Hyperlink" xfId="627" builtinId="9" hidden="1"/>
    <cellStyle name="Followed Hyperlink" xfId="629" builtinId="9" hidden="1"/>
    <cellStyle name="Followed Hyperlink" xfId="631" builtinId="9" hidden="1"/>
    <cellStyle name="Followed Hyperlink" xfId="633" builtinId="9" hidden="1"/>
    <cellStyle name="Followed Hyperlink" xfId="635" builtinId="9" hidden="1"/>
    <cellStyle name="Followed Hyperlink" xfId="637" builtinId="9" hidden="1"/>
    <cellStyle name="Followed Hyperlink" xfId="639" builtinId="9" hidden="1"/>
    <cellStyle name="Followed Hyperlink" xfId="641" builtinId="9" hidden="1"/>
    <cellStyle name="Followed Hyperlink" xfId="643" builtinId="9" hidden="1"/>
    <cellStyle name="Followed Hyperlink" xfId="645" builtinId="9" hidden="1"/>
    <cellStyle name="Followed Hyperlink" xfId="647" builtinId="9" hidden="1"/>
    <cellStyle name="Followed Hyperlink" xfId="649" builtinId="9" hidden="1"/>
    <cellStyle name="Followed Hyperlink" xfId="651" builtinId="9" hidden="1"/>
    <cellStyle name="Followed Hyperlink" xfId="653" builtinId="9" hidden="1"/>
    <cellStyle name="Followed Hyperlink" xfId="655" builtinId="9" hidden="1"/>
    <cellStyle name="Followed Hyperlink" xfId="657" builtinId="9" hidden="1"/>
    <cellStyle name="Followed Hyperlink" xfId="659" builtinId="9" hidden="1"/>
    <cellStyle name="Followed Hyperlink" xfId="661" builtinId="9" hidden="1"/>
    <cellStyle name="Followed Hyperlink" xfId="663" builtinId="9" hidden="1"/>
    <cellStyle name="Followed Hyperlink" xfId="665" builtinId="9" hidden="1"/>
    <cellStyle name="Followed Hyperlink" xfId="667" builtinId="9" hidden="1"/>
    <cellStyle name="Followed Hyperlink" xfId="669" builtinId="9" hidden="1"/>
    <cellStyle name="Followed Hyperlink" xfId="671" builtinId="9" hidden="1"/>
    <cellStyle name="Followed Hyperlink" xfId="673" builtinId="9" hidden="1"/>
    <cellStyle name="Followed Hyperlink" xfId="675" builtinId="9" hidden="1"/>
    <cellStyle name="Followed Hyperlink" xfId="677" builtinId="9" hidden="1"/>
    <cellStyle name="Followed Hyperlink" xfId="679" builtinId="9" hidden="1"/>
    <cellStyle name="Followed Hyperlink" xfId="681" builtinId="9" hidden="1"/>
    <cellStyle name="Followed Hyperlink" xfId="683" builtinId="9" hidden="1"/>
    <cellStyle name="Followed Hyperlink" xfId="685" builtinId="9" hidden="1"/>
    <cellStyle name="Followed Hyperlink" xfId="687" builtinId="9" hidden="1"/>
    <cellStyle name="Followed Hyperlink" xfId="689" builtinId="9" hidden="1"/>
    <cellStyle name="Followed Hyperlink" xfId="691" builtinId="9" hidden="1"/>
    <cellStyle name="Followed Hyperlink" xfId="693" builtinId="9" hidden="1"/>
    <cellStyle name="Followed Hyperlink" xfId="695" builtinId="9" hidden="1"/>
    <cellStyle name="Followed Hyperlink" xfId="697" builtinId="9" hidden="1"/>
    <cellStyle name="Followed Hyperlink" xfId="699" builtinId="9" hidden="1"/>
    <cellStyle name="Followed Hyperlink" xfId="701" builtinId="9" hidden="1"/>
    <cellStyle name="Followed Hyperlink" xfId="703" builtinId="9" hidden="1"/>
    <cellStyle name="Followed Hyperlink" xfId="705" builtinId="9" hidden="1"/>
    <cellStyle name="Followed Hyperlink" xfId="707" builtinId="9" hidden="1"/>
    <cellStyle name="Followed Hyperlink" xfId="709" builtinId="9" hidden="1"/>
    <cellStyle name="Followed Hyperlink" xfId="711" builtinId="9" hidden="1"/>
    <cellStyle name="Followed Hyperlink" xfId="713" builtinId="9" hidden="1"/>
    <cellStyle name="Followed Hyperlink" xfId="715" builtinId="9" hidden="1"/>
    <cellStyle name="Followed Hyperlink" xfId="717" builtinId="9" hidden="1"/>
    <cellStyle name="Followed Hyperlink" xfId="719" builtinId="9" hidden="1"/>
    <cellStyle name="Followed Hyperlink" xfId="721" builtinId="9" hidden="1"/>
    <cellStyle name="Followed Hyperlink" xfId="723" builtinId="9" hidden="1"/>
    <cellStyle name="Followed Hyperlink" xfId="725" builtinId="9" hidden="1"/>
    <cellStyle name="Followed Hyperlink" xfId="727" builtinId="9" hidden="1"/>
    <cellStyle name="Followed Hyperlink" xfId="729" builtinId="9" hidden="1"/>
    <cellStyle name="Followed Hyperlink" xfId="731" builtinId="9" hidden="1"/>
    <cellStyle name="Followed Hyperlink" xfId="733" builtinId="9" hidden="1"/>
    <cellStyle name="Followed Hyperlink" xfId="735" builtinId="9" hidden="1"/>
    <cellStyle name="Followed Hyperlink" xfId="737" builtinId="9" hidden="1"/>
    <cellStyle name="Followed Hyperlink" xfId="739" builtinId="9" hidden="1"/>
    <cellStyle name="Followed Hyperlink" xfId="741" builtinId="9" hidden="1"/>
    <cellStyle name="Followed Hyperlink" xfId="743" builtinId="9" hidden="1"/>
    <cellStyle name="Followed Hyperlink" xfId="745" builtinId="9" hidden="1"/>
    <cellStyle name="Followed Hyperlink" xfId="747" builtinId="9" hidden="1"/>
    <cellStyle name="Followed Hyperlink" xfId="749" builtinId="9" hidden="1"/>
    <cellStyle name="Followed Hyperlink" xfId="751" builtinId="9" hidden="1"/>
    <cellStyle name="Followed Hyperlink" xfId="753" builtinId="9" hidden="1"/>
    <cellStyle name="Followed Hyperlink" xfId="755" builtinId="9" hidden="1"/>
    <cellStyle name="Followed Hyperlink" xfId="757" builtinId="9" hidden="1"/>
    <cellStyle name="Followed Hyperlink" xfId="759" builtinId="9" hidden="1"/>
    <cellStyle name="Followed Hyperlink" xfId="761" builtinId="9" hidden="1"/>
    <cellStyle name="Followed Hyperlink" xfId="763" builtinId="9" hidden="1"/>
    <cellStyle name="Followed Hyperlink" xfId="765" builtinId="9" hidden="1"/>
    <cellStyle name="Followed Hyperlink" xfId="767" builtinId="9" hidden="1"/>
    <cellStyle name="Followed Hyperlink" xfId="769" builtinId="9" hidden="1"/>
    <cellStyle name="Followed Hyperlink" xfId="771" builtinId="9" hidden="1"/>
    <cellStyle name="Followed Hyperlink" xfId="773" builtinId="9" hidden="1"/>
    <cellStyle name="Followed Hyperlink" xfId="775" builtinId="9" hidden="1"/>
    <cellStyle name="Followed Hyperlink" xfId="777" builtinId="9" hidden="1"/>
    <cellStyle name="Followed Hyperlink" xfId="779" builtinId="9" hidden="1"/>
    <cellStyle name="Followed Hyperlink" xfId="781" builtinId="9" hidden="1"/>
    <cellStyle name="Followed Hyperlink" xfId="783" builtinId="9" hidden="1"/>
    <cellStyle name="Followed Hyperlink" xfId="785" builtinId="9" hidden="1"/>
    <cellStyle name="Followed Hyperlink" xfId="787" builtinId="9" hidden="1"/>
    <cellStyle name="Followed Hyperlink" xfId="789" builtinId="9" hidden="1"/>
    <cellStyle name="Followed Hyperlink" xfId="791" builtinId="9" hidden="1"/>
    <cellStyle name="Followed Hyperlink" xfId="793" builtinId="9" hidden="1"/>
    <cellStyle name="Followed Hyperlink" xfId="795" builtinId="9" hidden="1"/>
    <cellStyle name="Followed Hyperlink" xfId="797" builtinId="9" hidden="1"/>
    <cellStyle name="Followed Hyperlink" xfId="799" builtinId="9" hidden="1"/>
    <cellStyle name="Followed Hyperlink" xfId="801" builtinId="9" hidden="1"/>
    <cellStyle name="Followed Hyperlink" xfId="803" builtinId="9" hidden="1"/>
    <cellStyle name="Followed Hyperlink" xfId="805" builtinId="9" hidden="1"/>
    <cellStyle name="Followed Hyperlink" xfId="807" builtinId="9" hidden="1"/>
    <cellStyle name="Followed Hyperlink" xfId="809" builtinId="9" hidden="1"/>
    <cellStyle name="Followed Hyperlink" xfId="811" builtinId="9" hidden="1"/>
    <cellStyle name="Followed Hyperlink" xfId="813" builtinId="9" hidden="1"/>
    <cellStyle name="Followed Hyperlink" xfId="815" builtinId="9" hidden="1"/>
    <cellStyle name="Followed Hyperlink" xfId="817" builtinId="9" hidden="1"/>
    <cellStyle name="Followed Hyperlink" xfId="819" builtinId="9" hidden="1"/>
    <cellStyle name="Followed Hyperlink" xfId="821" builtinId="9" hidden="1"/>
    <cellStyle name="Followed Hyperlink" xfId="823" builtinId="9" hidden="1"/>
    <cellStyle name="Followed Hyperlink" xfId="825" builtinId="9" hidden="1"/>
    <cellStyle name="Followed Hyperlink" xfId="827" builtinId="9" hidden="1"/>
    <cellStyle name="Followed Hyperlink" xfId="829" builtinId="9" hidden="1"/>
    <cellStyle name="Followed Hyperlink" xfId="831" builtinId="9" hidden="1"/>
    <cellStyle name="Followed Hyperlink" xfId="833" builtinId="9" hidden="1"/>
    <cellStyle name="Followed Hyperlink" xfId="835" builtinId="9" hidden="1"/>
    <cellStyle name="Followed Hyperlink" xfId="837" builtinId="9" hidden="1"/>
    <cellStyle name="Followed Hyperlink" xfId="839" builtinId="9" hidden="1"/>
    <cellStyle name="Followed Hyperlink" xfId="841" builtinId="9" hidden="1"/>
    <cellStyle name="Followed Hyperlink" xfId="843" builtinId="9" hidden="1"/>
    <cellStyle name="Followed Hyperlink" xfId="845" builtinId="9" hidden="1"/>
    <cellStyle name="Followed Hyperlink" xfId="847" builtinId="9" hidden="1"/>
    <cellStyle name="Followed Hyperlink" xfId="849" builtinId="9" hidden="1"/>
    <cellStyle name="Followed Hyperlink" xfId="851" builtinId="9" hidden="1"/>
    <cellStyle name="Followed Hyperlink" xfId="853" builtinId="9" hidden="1"/>
    <cellStyle name="Followed Hyperlink" xfId="855" builtinId="9" hidden="1"/>
    <cellStyle name="Followed Hyperlink" xfId="857" builtinId="9" hidden="1"/>
    <cellStyle name="Followed Hyperlink" xfId="859" builtinId="9" hidden="1"/>
    <cellStyle name="Followed Hyperlink" xfId="861" builtinId="9" hidden="1"/>
    <cellStyle name="Followed Hyperlink" xfId="863" builtinId="9" hidden="1"/>
    <cellStyle name="Followed Hyperlink" xfId="865" builtinId="9" hidden="1"/>
    <cellStyle name="Followed Hyperlink" xfId="867" builtinId="9" hidden="1"/>
    <cellStyle name="Followed Hyperlink" xfId="869" builtinId="9" hidden="1"/>
    <cellStyle name="Followed Hyperlink" xfId="871" builtinId="9" hidden="1"/>
    <cellStyle name="Followed Hyperlink" xfId="873" builtinId="9" hidden="1"/>
    <cellStyle name="Followed Hyperlink" xfId="875" builtinId="9" hidden="1"/>
    <cellStyle name="Followed Hyperlink" xfId="877" builtinId="9" hidden="1"/>
    <cellStyle name="Followed Hyperlink" xfId="879" builtinId="9" hidden="1"/>
    <cellStyle name="Followed Hyperlink" xfId="881" builtinId="9" hidden="1"/>
    <cellStyle name="Followed Hyperlink" xfId="883" builtinId="9" hidden="1"/>
    <cellStyle name="Followed Hyperlink" xfId="885" builtinId="9" hidden="1"/>
    <cellStyle name="Followed Hyperlink" xfId="887" builtinId="9" hidden="1"/>
    <cellStyle name="Followed Hyperlink" xfId="889" builtinId="9" hidden="1"/>
    <cellStyle name="Followed Hyperlink" xfId="891" builtinId="9" hidden="1"/>
    <cellStyle name="Followed Hyperlink" xfId="893" builtinId="9" hidden="1"/>
    <cellStyle name="Followed Hyperlink" xfId="895" builtinId="9" hidden="1"/>
    <cellStyle name="Followed Hyperlink" xfId="897" builtinId="9" hidden="1"/>
    <cellStyle name="Followed Hyperlink" xfId="899" builtinId="9" hidden="1"/>
    <cellStyle name="Followed Hyperlink" xfId="901" builtinId="9" hidden="1"/>
    <cellStyle name="Followed Hyperlink" xfId="903" builtinId="9" hidden="1"/>
    <cellStyle name="Followed Hyperlink" xfId="905" builtinId="9" hidden="1"/>
    <cellStyle name="Followed Hyperlink" xfId="907" builtinId="9" hidden="1"/>
    <cellStyle name="Followed Hyperlink" xfId="909" builtinId="9" hidden="1"/>
    <cellStyle name="Followed Hyperlink" xfId="911" builtinId="9" hidden="1"/>
    <cellStyle name="Followed Hyperlink" xfId="913" builtinId="9" hidden="1"/>
    <cellStyle name="Followed Hyperlink" xfId="915" builtinId="9" hidden="1"/>
    <cellStyle name="Followed Hyperlink" xfId="917" builtinId="9" hidden="1"/>
    <cellStyle name="Followed Hyperlink" xfId="919" builtinId="9" hidden="1"/>
    <cellStyle name="Followed Hyperlink" xfId="921" builtinId="9" hidden="1"/>
    <cellStyle name="Followed Hyperlink" xfId="923" builtinId="9" hidden="1"/>
    <cellStyle name="Followed Hyperlink" xfId="925" builtinId="9" hidden="1"/>
    <cellStyle name="Followed Hyperlink" xfId="927" builtinId="9" hidden="1"/>
    <cellStyle name="Followed Hyperlink" xfId="929" builtinId="9" hidden="1"/>
    <cellStyle name="Followed Hyperlink" xfId="931" builtinId="9" hidden="1"/>
    <cellStyle name="Followed Hyperlink" xfId="933" builtinId="9" hidden="1"/>
    <cellStyle name="Followed Hyperlink" xfId="935" builtinId="9" hidden="1"/>
    <cellStyle name="Followed Hyperlink" xfId="937" builtinId="9" hidden="1"/>
    <cellStyle name="Followed Hyperlink" xfId="939" builtinId="9" hidden="1"/>
    <cellStyle name="Followed Hyperlink" xfId="941" builtinId="9" hidden="1"/>
    <cellStyle name="Followed Hyperlink" xfId="943" builtinId="9" hidden="1"/>
    <cellStyle name="Followed Hyperlink" xfId="945" builtinId="9" hidden="1"/>
    <cellStyle name="Followed Hyperlink" xfId="947" builtinId="9" hidden="1"/>
    <cellStyle name="Followed Hyperlink" xfId="949" builtinId="9" hidden="1"/>
    <cellStyle name="Followed Hyperlink" xfId="951" builtinId="9" hidden="1"/>
    <cellStyle name="Followed Hyperlink" xfId="953" builtinId="9" hidden="1"/>
    <cellStyle name="Followed Hyperlink" xfId="955" builtinId="9" hidden="1"/>
    <cellStyle name="Followed Hyperlink" xfId="957" builtinId="9" hidden="1"/>
    <cellStyle name="Followed Hyperlink" xfId="959" builtinId="9" hidden="1"/>
    <cellStyle name="Followed Hyperlink" xfId="961" builtinId="9" hidden="1"/>
    <cellStyle name="Followed Hyperlink" xfId="963" builtinId="9" hidden="1"/>
    <cellStyle name="Followed Hyperlink" xfId="965" builtinId="9" hidden="1"/>
    <cellStyle name="Followed Hyperlink" xfId="967" builtinId="9" hidden="1"/>
    <cellStyle name="Followed Hyperlink" xfId="969" builtinId="9" hidden="1"/>
    <cellStyle name="Followed Hyperlink" xfId="971" builtinId="9" hidden="1"/>
    <cellStyle name="Followed Hyperlink" xfId="973" builtinId="9" hidden="1"/>
    <cellStyle name="Followed Hyperlink" xfId="975" builtinId="9" hidden="1"/>
    <cellStyle name="Followed Hyperlink" xfId="977" builtinId="9" hidden="1"/>
    <cellStyle name="Followed Hyperlink" xfId="979" builtinId="9" hidden="1"/>
    <cellStyle name="Followed Hyperlink" xfId="981" builtinId="9" hidden="1"/>
    <cellStyle name="Followed Hyperlink" xfId="983" builtinId="9" hidden="1"/>
    <cellStyle name="Followed Hyperlink" xfId="985" builtinId="9" hidden="1"/>
    <cellStyle name="Followed Hyperlink" xfId="987" builtinId="9" hidden="1"/>
    <cellStyle name="Followed Hyperlink" xfId="989" builtinId="9" hidden="1"/>
    <cellStyle name="Followed Hyperlink" xfId="991" builtinId="9" hidden="1"/>
    <cellStyle name="Followed Hyperlink" xfId="993" builtinId="9" hidden="1"/>
    <cellStyle name="Followed Hyperlink" xfId="995" builtinId="9" hidden="1"/>
    <cellStyle name="Followed Hyperlink" xfId="997" builtinId="9" hidden="1"/>
    <cellStyle name="Followed Hyperlink" xfId="999" builtinId="9" hidden="1"/>
    <cellStyle name="Followed Hyperlink" xfId="1001" builtinId="9" hidden="1"/>
    <cellStyle name="Followed Hyperlink" xfId="1003" builtinId="9" hidden="1"/>
    <cellStyle name="Followed Hyperlink" xfId="1005" builtinId="9" hidden="1"/>
    <cellStyle name="Followed Hyperlink" xfId="1007" builtinId="9" hidden="1"/>
    <cellStyle name="Followed Hyperlink" xfId="1009" builtinId="9" hidden="1"/>
    <cellStyle name="Followed Hyperlink" xfId="1011" builtinId="9" hidden="1"/>
    <cellStyle name="Followed Hyperlink" xfId="1013" builtinId="9" hidden="1"/>
    <cellStyle name="Followed Hyperlink" xfId="1015" builtinId="9" hidden="1"/>
    <cellStyle name="Followed Hyperlink" xfId="1017" builtinId="9" hidden="1"/>
    <cellStyle name="Followed Hyperlink" xfId="1019" builtinId="9" hidden="1"/>
    <cellStyle name="Followed Hyperlink" xfId="1021" builtinId="9" hidden="1"/>
    <cellStyle name="Followed Hyperlink" xfId="1023" builtinId="9" hidden="1"/>
    <cellStyle name="Followed Hyperlink" xfId="1025" builtinId="9" hidden="1"/>
    <cellStyle name="Followed Hyperlink" xfId="1027" builtinId="9" hidden="1"/>
    <cellStyle name="Followed Hyperlink" xfId="1029" builtinId="9" hidden="1"/>
    <cellStyle name="Followed Hyperlink" xfId="1031" builtinId="9" hidden="1"/>
    <cellStyle name="Followed Hyperlink" xfId="1033" builtinId="9" hidden="1"/>
    <cellStyle name="Followed Hyperlink" xfId="1035" builtinId="9" hidden="1"/>
    <cellStyle name="Followed Hyperlink" xfId="1037" builtinId="9" hidden="1"/>
    <cellStyle name="Followed Hyperlink" xfId="1039" builtinId="9" hidden="1"/>
    <cellStyle name="Followed Hyperlink" xfId="1041" builtinId="9" hidden="1"/>
    <cellStyle name="Followed Hyperlink" xfId="1043" builtinId="9" hidden="1"/>
    <cellStyle name="Followed Hyperlink" xfId="1045" builtinId="9" hidden="1"/>
    <cellStyle name="Followed Hyperlink" xfId="1047" builtinId="9" hidden="1"/>
    <cellStyle name="Followed Hyperlink" xfId="1049" builtinId="9" hidden="1"/>
    <cellStyle name="Followed Hyperlink" xfId="1051" builtinId="9" hidden="1"/>
    <cellStyle name="Followed Hyperlink" xfId="1053" builtinId="9" hidden="1"/>
    <cellStyle name="Followed Hyperlink" xfId="1055" builtinId="9" hidden="1"/>
    <cellStyle name="Followed Hyperlink" xfId="1057" builtinId="9" hidden="1"/>
    <cellStyle name="Followed Hyperlink" xfId="1059" builtinId="9" hidden="1"/>
    <cellStyle name="Followed Hyperlink" xfId="1061" builtinId="9" hidden="1"/>
    <cellStyle name="Followed Hyperlink" xfId="1063" builtinId="9" hidden="1"/>
    <cellStyle name="Followed Hyperlink" xfId="1065" builtinId="9" hidden="1"/>
    <cellStyle name="Followed Hyperlink" xfId="1067" builtinId="9" hidden="1"/>
    <cellStyle name="Followed Hyperlink" xfId="1069" builtinId="9" hidden="1"/>
    <cellStyle name="Followed Hyperlink" xfId="1071" builtinId="9" hidden="1"/>
    <cellStyle name="Followed Hyperlink" xfId="1073" builtinId="9" hidden="1"/>
    <cellStyle name="Followed Hyperlink" xfId="1075" builtinId="9" hidden="1"/>
    <cellStyle name="Followed Hyperlink" xfId="1077" builtinId="9" hidden="1"/>
    <cellStyle name="Followed Hyperlink" xfId="1079" builtinId="9" hidden="1"/>
    <cellStyle name="Followed Hyperlink" xfId="1081" builtinId="9" hidden="1"/>
    <cellStyle name="Followed Hyperlink" xfId="1083" builtinId="9" hidden="1"/>
    <cellStyle name="Followed Hyperlink" xfId="1085" builtinId="9" hidden="1"/>
    <cellStyle name="Followed Hyperlink" xfId="1087" builtinId="9" hidden="1"/>
    <cellStyle name="Followed Hyperlink" xfId="1089" builtinId="9" hidden="1"/>
    <cellStyle name="Followed Hyperlink" xfId="1091" builtinId="9" hidden="1"/>
    <cellStyle name="Followed Hyperlink" xfId="1093" builtinId="9" hidden="1"/>
    <cellStyle name="Followed Hyperlink" xfId="1095" builtinId="9" hidden="1"/>
    <cellStyle name="Followed Hyperlink" xfId="1097" builtinId="9" hidden="1"/>
    <cellStyle name="Followed Hyperlink" xfId="1099" builtinId="9" hidden="1"/>
    <cellStyle name="Followed Hyperlink" xfId="1101" builtinId="9" hidden="1"/>
    <cellStyle name="Followed Hyperlink" xfId="1103" builtinId="9" hidden="1"/>
    <cellStyle name="Followed Hyperlink" xfId="1105" builtinId="9" hidden="1"/>
    <cellStyle name="Followed Hyperlink" xfId="1107" builtinId="9" hidden="1"/>
    <cellStyle name="Followed Hyperlink" xfId="1109" builtinId="9" hidden="1"/>
    <cellStyle name="Followed Hyperlink" xfId="1111" builtinId="9" hidden="1"/>
    <cellStyle name="Followed Hyperlink" xfId="1113" builtinId="9" hidden="1"/>
    <cellStyle name="Followed Hyperlink" xfId="1115" builtinId="9" hidden="1"/>
    <cellStyle name="Followed Hyperlink" xfId="1117" builtinId="9" hidden="1"/>
    <cellStyle name="Followed Hyperlink" xfId="1119" builtinId="9" hidden="1"/>
    <cellStyle name="Followed Hyperlink" xfId="1121" builtinId="9" hidden="1"/>
    <cellStyle name="Followed Hyperlink" xfId="1123" builtinId="9" hidden="1"/>
    <cellStyle name="Followed Hyperlink" xfId="1125" builtinId="9" hidden="1"/>
    <cellStyle name="Followed Hyperlink" xfId="1127" builtinId="9" hidden="1"/>
    <cellStyle name="Followed Hyperlink" xfId="1129" builtinId="9" hidden="1"/>
    <cellStyle name="Followed Hyperlink" xfId="1131" builtinId="9" hidden="1"/>
    <cellStyle name="Followed Hyperlink" xfId="1133" builtinId="9" hidden="1"/>
    <cellStyle name="Followed Hyperlink" xfId="1135" builtinId="9" hidden="1"/>
    <cellStyle name="Followed Hyperlink" xfId="1137" builtinId="9" hidden="1"/>
    <cellStyle name="Followed Hyperlink" xfId="1139" builtinId="9" hidden="1"/>
    <cellStyle name="Followed Hyperlink" xfId="1141" builtinId="9" hidden="1"/>
    <cellStyle name="Followed Hyperlink" xfId="1143" builtinId="9" hidden="1"/>
    <cellStyle name="Followed Hyperlink" xfId="1145" builtinId="9" hidden="1"/>
    <cellStyle name="Followed Hyperlink" xfId="1147" builtinId="9" hidden="1"/>
    <cellStyle name="Followed Hyperlink" xfId="1149" builtinId="9" hidden="1"/>
    <cellStyle name="Followed Hyperlink" xfId="1151" builtinId="9" hidden="1"/>
    <cellStyle name="Followed Hyperlink" xfId="1153" builtinId="9" hidden="1"/>
    <cellStyle name="Followed Hyperlink" xfId="1155" builtinId="9" hidden="1"/>
    <cellStyle name="Followed Hyperlink" xfId="1157" builtinId="9" hidden="1"/>
    <cellStyle name="Followed Hyperlink" xfId="1159" builtinId="9" hidden="1"/>
    <cellStyle name="Followed Hyperlink" xfId="1161" builtinId="9" hidden="1"/>
    <cellStyle name="Followed Hyperlink" xfId="1163" builtinId="9" hidden="1"/>
    <cellStyle name="Followed Hyperlink" xfId="1165" builtinId="9" hidden="1"/>
    <cellStyle name="Followed Hyperlink" xfId="1167" builtinId="9" hidden="1"/>
    <cellStyle name="Followed Hyperlink" xfId="1169" builtinId="9" hidden="1"/>
    <cellStyle name="Followed Hyperlink" xfId="1171" builtinId="9" hidden="1"/>
    <cellStyle name="Followed Hyperlink" xfId="1173" builtinId="9" hidden="1"/>
    <cellStyle name="Followed Hyperlink" xfId="1175" builtinId="9" hidden="1"/>
    <cellStyle name="Followed Hyperlink" xfId="1177" builtinId="9" hidden="1"/>
    <cellStyle name="Followed Hyperlink" xfId="1179" builtinId="9" hidden="1"/>
    <cellStyle name="Followed Hyperlink" xfId="1181" builtinId="9" hidden="1"/>
    <cellStyle name="Followed Hyperlink" xfId="1183" builtinId="9" hidden="1"/>
    <cellStyle name="Followed Hyperlink" xfId="1185" builtinId="9" hidden="1"/>
    <cellStyle name="Followed Hyperlink" xfId="1187" builtinId="9" hidden="1"/>
    <cellStyle name="Followed Hyperlink" xfId="1189" builtinId="9" hidden="1"/>
    <cellStyle name="Followed Hyperlink" xfId="1191" builtinId="9" hidden="1"/>
    <cellStyle name="Followed Hyperlink" xfId="1193" builtinId="9" hidden="1"/>
    <cellStyle name="Followed Hyperlink" xfId="1195" builtinId="9" hidden="1"/>
    <cellStyle name="Followed Hyperlink" xfId="1197" builtinId="9" hidden="1"/>
    <cellStyle name="Followed Hyperlink" xfId="1199" builtinId="9" hidden="1"/>
    <cellStyle name="Followed Hyperlink" xfId="1201" builtinId="9" hidden="1"/>
    <cellStyle name="Followed Hyperlink" xfId="1203" builtinId="9" hidden="1"/>
    <cellStyle name="Followed Hyperlink" xfId="1205" builtinId="9" hidden="1"/>
    <cellStyle name="Followed Hyperlink" xfId="1207" builtinId="9" hidden="1"/>
    <cellStyle name="Followed Hyperlink" xfId="1209" builtinId="9" hidden="1"/>
    <cellStyle name="Followed Hyperlink" xfId="1211" builtinId="9" hidden="1"/>
    <cellStyle name="Followed Hyperlink" xfId="1213" builtinId="9" hidden="1"/>
    <cellStyle name="Followed Hyperlink" xfId="1215" builtinId="9" hidden="1"/>
    <cellStyle name="Followed Hyperlink" xfId="1217" builtinId="9" hidden="1"/>
    <cellStyle name="Followed Hyperlink" xfId="1219" builtinId="9" hidden="1"/>
    <cellStyle name="Followed Hyperlink" xfId="1221" builtinId="9" hidden="1"/>
    <cellStyle name="Followed Hyperlink" xfId="1223" builtinId="9" hidden="1"/>
    <cellStyle name="Followed Hyperlink" xfId="1225" builtinId="9" hidden="1"/>
    <cellStyle name="Followed Hyperlink" xfId="1227" builtinId="9" hidden="1"/>
    <cellStyle name="Followed Hyperlink" xfId="1229" builtinId="9" hidden="1"/>
    <cellStyle name="Followed Hyperlink" xfId="1231" builtinId="9" hidden="1"/>
    <cellStyle name="Followed Hyperlink" xfId="1233" builtinId="9" hidden="1"/>
    <cellStyle name="Followed Hyperlink" xfId="1235" builtinId="9" hidden="1"/>
    <cellStyle name="Followed Hyperlink" xfId="1237" builtinId="9" hidden="1"/>
    <cellStyle name="Followed Hyperlink" xfId="1239" builtinId="9" hidden="1"/>
    <cellStyle name="Followed Hyperlink" xfId="1241" builtinId="9" hidden="1"/>
    <cellStyle name="Followed Hyperlink" xfId="1243" builtinId="9" hidden="1"/>
    <cellStyle name="Followed Hyperlink" xfId="1245" builtinId="9" hidden="1"/>
    <cellStyle name="Followed Hyperlink" xfId="1247" builtinId="9" hidden="1"/>
    <cellStyle name="Followed Hyperlink" xfId="1249" builtinId="9" hidden="1"/>
    <cellStyle name="Followed Hyperlink" xfId="1251" builtinId="9" hidden="1"/>
    <cellStyle name="Followed Hyperlink" xfId="1253" builtinId="9" hidden="1"/>
    <cellStyle name="Followed Hyperlink" xfId="1255" builtinId="9" hidden="1"/>
    <cellStyle name="Followed Hyperlink" xfId="1257" builtinId="9" hidden="1"/>
    <cellStyle name="Followed Hyperlink" xfId="1259" builtinId="9" hidden="1"/>
    <cellStyle name="Followed Hyperlink" xfId="1261" builtinId="9" hidden="1"/>
    <cellStyle name="Followed Hyperlink" xfId="1263" builtinId="9" hidden="1"/>
    <cellStyle name="Followed Hyperlink" xfId="1265" builtinId="9" hidden="1"/>
    <cellStyle name="Followed Hyperlink" xfId="1267" builtinId="9" hidden="1"/>
    <cellStyle name="Followed Hyperlink" xfId="1269" builtinId="9" hidden="1"/>
    <cellStyle name="Followed Hyperlink" xfId="1271" builtinId="9" hidden="1"/>
    <cellStyle name="Followed Hyperlink" xfId="1273" builtinId="9" hidden="1"/>
    <cellStyle name="Followed Hyperlink" xfId="1275" builtinId="9" hidden="1"/>
    <cellStyle name="Followed Hyperlink" xfId="1277" builtinId="9" hidden="1"/>
    <cellStyle name="Followed Hyperlink" xfId="1279" builtinId="9" hidden="1"/>
    <cellStyle name="Followed Hyperlink" xfId="1281" builtinId="9" hidden="1"/>
    <cellStyle name="Followed Hyperlink" xfId="1283" builtinId="9" hidden="1"/>
    <cellStyle name="Followed Hyperlink" xfId="1285" builtinId="9" hidden="1"/>
    <cellStyle name="Followed Hyperlink" xfId="1287" builtinId="9" hidden="1"/>
    <cellStyle name="Followed Hyperlink" xfId="1289" builtinId="9" hidden="1"/>
    <cellStyle name="Followed Hyperlink" xfId="1291" builtinId="9" hidden="1"/>
    <cellStyle name="Followed Hyperlink" xfId="1293" builtinId="9" hidden="1"/>
    <cellStyle name="Followed Hyperlink" xfId="1295" builtinId="9" hidden="1"/>
    <cellStyle name="Followed Hyperlink" xfId="1297" builtinId="9" hidden="1"/>
    <cellStyle name="Followed Hyperlink" xfId="1299" builtinId="9" hidden="1"/>
    <cellStyle name="Followed Hyperlink" xfId="1301" builtinId="9" hidden="1"/>
    <cellStyle name="Followed Hyperlink" xfId="1303" builtinId="9" hidden="1"/>
    <cellStyle name="Followed Hyperlink" xfId="1305" builtinId="9" hidden="1"/>
    <cellStyle name="Followed Hyperlink" xfId="1307" builtinId="9" hidden="1"/>
    <cellStyle name="Followed Hyperlink" xfId="1309" builtinId="9" hidden="1"/>
    <cellStyle name="Followed Hyperlink" xfId="1311" builtinId="9" hidden="1"/>
    <cellStyle name="Followed Hyperlink" xfId="1313" builtinId="9" hidden="1"/>
    <cellStyle name="Followed Hyperlink" xfId="1315" builtinId="9" hidden="1"/>
    <cellStyle name="Followed Hyperlink" xfId="1317" builtinId="9" hidden="1"/>
    <cellStyle name="Followed Hyperlink" xfId="1319" builtinId="9" hidden="1"/>
    <cellStyle name="Followed Hyperlink" xfId="1321" builtinId="9" hidden="1"/>
    <cellStyle name="Followed Hyperlink" xfId="1323" builtinId="9" hidden="1"/>
    <cellStyle name="Followed Hyperlink" xfId="1325" builtinId="9" hidden="1"/>
    <cellStyle name="Followed Hyperlink" xfId="1327" builtinId="9" hidden="1"/>
    <cellStyle name="Followed Hyperlink" xfId="1329" builtinId="9" hidden="1"/>
    <cellStyle name="Followed Hyperlink" xfId="1331" builtinId="9" hidden="1"/>
    <cellStyle name="Followed Hyperlink" xfId="1333" builtinId="9" hidden="1"/>
    <cellStyle name="Followed Hyperlink" xfId="1335" builtinId="9" hidden="1"/>
    <cellStyle name="Followed Hyperlink" xfId="1337" builtinId="9" hidden="1"/>
    <cellStyle name="Followed Hyperlink" xfId="1339" builtinId="9" hidden="1"/>
    <cellStyle name="Followed Hyperlink" xfId="1341" builtinId="9" hidden="1"/>
    <cellStyle name="Followed Hyperlink" xfId="1343" builtinId="9" hidden="1"/>
    <cellStyle name="Followed Hyperlink" xfId="1345" builtinId="9" hidden="1"/>
    <cellStyle name="Followed Hyperlink" xfId="1347" builtinId="9" hidden="1"/>
    <cellStyle name="Followed Hyperlink" xfId="1349" builtinId="9" hidden="1"/>
    <cellStyle name="Followed Hyperlink" xfId="1351" builtinId="9" hidden="1"/>
    <cellStyle name="Followed Hyperlink" xfId="1353" builtinId="9" hidden="1"/>
    <cellStyle name="Followed Hyperlink" xfId="1355" builtinId="9" hidden="1"/>
    <cellStyle name="Followed Hyperlink" xfId="1357" builtinId="9" hidden="1"/>
    <cellStyle name="Followed Hyperlink" xfId="1359" builtinId="9" hidden="1"/>
    <cellStyle name="Followed Hyperlink" xfId="1361" builtinId="9" hidden="1"/>
    <cellStyle name="Followed Hyperlink" xfId="1363" builtinId="9" hidden="1"/>
    <cellStyle name="Followed Hyperlink" xfId="1365" builtinId="9" hidden="1"/>
    <cellStyle name="Followed Hyperlink" xfId="1367" builtinId="9" hidden="1"/>
    <cellStyle name="Followed Hyperlink" xfId="1369" builtinId="9" hidden="1"/>
    <cellStyle name="Followed Hyperlink" xfId="1371" builtinId="9" hidden="1"/>
    <cellStyle name="Followed Hyperlink" xfId="1373" builtinId="9" hidden="1"/>
    <cellStyle name="Followed Hyperlink" xfId="1375" builtinId="9" hidden="1"/>
    <cellStyle name="Followed Hyperlink" xfId="1377" builtinId="9" hidden="1"/>
    <cellStyle name="Followed Hyperlink" xfId="1379" builtinId="9" hidden="1"/>
    <cellStyle name="Followed Hyperlink" xfId="1381" builtinId="9" hidden="1"/>
    <cellStyle name="Followed Hyperlink" xfId="1383" builtinId="9" hidden="1"/>
    <cellStyle name="Followed Hyperlink" xfId="1385" builtinId="9" hidden="1"/>
    <cellStyle name="Followed Hyperlink" xfId="1387" builtinId="9" hidden="1"/>
    <cellStyle name="Followed Hyperlink" xfId="1389" builtinId="9" hidden="1"/>
    <cellStyle name="Followed Hyperlink" xfId="1391" builtinId="9" hidden="1"/>
    <cellStyle name="Followed Hyperlink" xfId="1393" builtinId="9" hidden="1"/>
    <cellStyle name="Followed Hyperlink" xfId="1395" builtinId="9" hidden="1"/>
    <cellStyle name="Followed Hyperlink" xfId="1397" builtinId="9" hidden="1"/>
    <cellStyle name="Followed Hyperlink" xfId="1399" builtinId="9" hidden="1"/>
    <cellStyle name="Followed Hyperlink" xfId="1401" builtinId="9" hidden="1"/>
    <cellStyle name="Followed Hyperlink" xfId="1403" builtinId="9" hidden="1"/>
    <cellStyle name="Followed Hyperlink" xfId="1405" builtinId="9" hidden="1"/>
    <cellStyle name="Followed Hyperlink" xfId="1407" builtinId="9" hidden="1"/>
    <cellStyle name="Followed Hyperlink" xfId="1409" builtinId="9" hidden="1"/>
    <cellStyle name="Followed Hyperlink" xfId="1411" builtinId="9" hidden="1"/>
    <cellStyle name="Followed Hyperlink" xfId="1413" builtinId="9" hidden="1"/>
    <cellStyle name="Followed Hyperlink" xfId="1415" builtinId="9" hidden="1"/>
    <cellStyle name="Followed Hyperlink" xfId="1417" builtinId="9" hidden="1"/>
    <cellStyle name="Followed Hyperlink" xfId="1419" builtinId="9" hidden="1"/>
    <cellStyle name="Followed Hyperlink" xfId="1421" builtinId="9" hidden="1"/>
    <cellStyle name="Followed Hyperlink" xfId="1423" builtinId="9" hidden="1"/>
    <cellStyle name="Followed Hyperlink" xfId="1425" builtinId="9" hidden="1"/>
    <cellStyle name="Followed Hyperlink" xfId="1427" builtinId="9" hidden="1"/>
    <cellStyle name="Followed Hyperlink" xfId="1429" builtinId="9" hidden="1"/>
    <cellStyle name="Followed Hyperlink" xfId="1431" builtinId="9" hidden="1"/>
    <cellStyle name="Followed Hyperlink" xfId="1433" builtinId="9" hidden="1"/>
    <cellStyle name="Followed Hyperlink" xfId="1435" builtinId="9" hidden="1"/>
    <cellStyle name="Followed Hyperlink" xfId="1437" builtinId="9" hidden="1"/>
    <cellStyle name="Followed Hyperlink" xfId="1439" builtinId="9" hidden="1"/>
    <cellStyle name="Followed Hyperlink" xfId="1441" builtinId="9" hidden="1"/>
    <cellStyle name="Followed Hyperlink" xfId="1443" builtinId="9" hidden="1"/>
    <cellStyle name="Followed Hyperlink" xfId="1445" builtinId="9" hidden="1"/>
    <cellStyle name="Followed Hyperlink" xfId="1447" builtinId="9" hidden="1"/>
    <cellStyle name="Followed Hyperlink" xfId="1449" builtinId="9" hidden="1"/>
    <cellStyle name="Followed Hyperlink" xfId="1451" builtinId="9" hidden="1"/>
    <cellStyle name="Followed Hyperlink" xfId="1453" builtinId="9" hidden="1"/>
    <cellStyle name="Followed Hyperlink" xfId="1455" builtinId="9" hidden="1"/>
    <cellStyle name="Followed Hyperlink" xfId="1457" builtinId="9" hidden="1"/>
    <cellStyle name="Followed Hyperlink" xfId="1459" builtinId="9" hidden="1"/>
    <cellStyle name="Followed Hyperlink" xfId="1461" builtinId="9" hidden="1"/>
    <cellStyle name="Followed Hyperlink" xfId="1463" builtinId="9" hidden="1"/>
    <cellStyle name="Followed Hyperlink" xfId="1465" builtinId="9" hidden="1"/>
    <cellStyle name="Followed Hyperlink" xfId="1467" builtinId="9" hidden="1"/>
    <cellStyle name="Followed Hyperlink" xfId="1469" builtinId="9" hidden="1"/>
    <cellStyle name="Followed Hyperlink" xfId="1471" builtinId="9" hidden="1"/>
    <cellStyle name="Followed Hyperlink" xfId="1473" builtinId="9" hidden="1"/>
    <cellStyle name="Followed Hyperlink" xfId="1475" builtinId="9" hidden="1"/>
    <cellStyle name="Followed Hyperlink" xfId="1477" builtinId="9" hidden="1"/>
    <cellStyle name="Followed Hyperlink" xfId="1479" builtinId="9" hidden="1"/>
    <cellStyle name="Followed Hyperlink" xfId="1481" builtinId="9" hidden="1"/>
    <cellStyle name="Followed Hyperlink" xfId="1483" builtinId="9" hidden="1"/>
    <cellStyle name="Followed Hyperlink" xfId="1485" builtinId="9" hidden="1"/>
    <cellStyle name="Followed Hyperlink" xfId="1487" builtinId="9" hidden="1"/>
    <cellStyle name="Followed Hyperlink" xfId="1489" builtinId="9" hidden="1"/>
    <cellStyle name="Followed Hyperlink" xfId="1491" builtinId="9" hidden="1"/>
    <cellStyle name="Followed Hyperlink" xfId="1493" builtinId="9" hidden="1"/>
    <cellStyle name="Followed Hyperlink" xfId="1495" builtinId="9" hidden="1"/>
    <cellStyle name="Hyperlink" xfId="2" builtinId="8" hidden="1"/>
    <cellStyle name="Hyperlink" xfId="4" builtinId="8" hidden="1"/>
    <cellStyle name="Hyperlink" xfId="6" builtinId="8" hidden="1"/>
    <cellStyle name="Hyperlink" xfId="8" builtinId="8" hidden="1"/>
    <cellStyle name="Hyperlink" xfId="10" builtinId="8"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08" builtinId="8" hidden="1"/>
    <cellStyle name="Hyperlink" xfId="410" builtinId="8" hidden="1"/>
    <cellStyle name="Hyperlink" xfId="412" builtinId="8" hidden="1"/>
    <cellStyle name="Hyperlink" xfId="414" builtinId="8" hidden="1"/>
    <cellStyle name="Hyperlink" xfId="416" builtinId="8" hidden="1"/>
    <cellStyle name="Hyperlink" xfId="418" builtinId="8" hidden="1"/>
    <cellStyle name="Hyperlink" xfId="420" builtinId="8" hidden="1"/>
    <cellStyle name="Hyperlink" xfId="422" builtinId="8" hidden="1"/>
    <cellStyle name="Hyperlink" xfId="424" builtinId="8" hidden="1"/>
    <cellStyle name="Hyperlink" xfId="426" builtinId="8" hidden="1"/>
    <cellStyle name="Hyperlink" xfId="428" builtinId="8" hidden="1"/>
    <cellStyle name="Hyperlink" xfId="430" builtinId="8" hidden="1"/>
    <cellStyle name="Hyperlink" xfId="432" builtinId="8" hidden="1"/>
    <cellStyle name="Hyperlink" xfId="434" builtinId="8" hidden="1"/>
    <cellStyle name="Hyperlink" xfId="436" builtinId="8" hidden="1"/>
    <cellStyle name="Hyperlink" xfId="438" builtinId="8" hidden="1"/>
    <cellStyle name="Hyperlink" xfId="440" builtinId="8" hidden="1"/>
    <cellStyle name="Hyperlink" xfId="442" builtinId="8" hidden="1"/>
    <cellStyle name="Hyperlink" xfId="444" builtinId="8" hidden="1"/>
    <cellStyle name="Hyperlink" xfId="446" builtinId="8" hidden="1"/>
    <cellStyle name="Hyperlink" xfId="448" builtinId="8" hidden="1"/>
    <cellStyle name="Hyperlink" xfId="450" builtinId="8" hidden="1"/>
    <cellStyle name="Hyperlink" xfId="452" builtinId="8" hidden="1"/>
    <cellStyle name="Hyperlink" xfId="454" builtinId="8" hidden="1"/>
    <cellStyle name="Hyperlink" xfId="456" builtinId="8" hidden="1"/>
    <cellStyle name="Hyperlink" xfId="458" builtinId="8" hidden="1"/>
    <cellStyle name="Hyperlink" xfId="460" builtinId="8" hidden="1"/>
    <cellStyle name="Hyperlink" xfId="462" builtinId="8" hidden="1"/>
    <cellStyle name="Hyperlink" xfId="464" builtinId="8" hidden="1"/>
    <cellStyle name="Hyperlink" xfId="466" builtinId="8" hidden="1"/>
    <cellStyle name="Hyperlink" xfId="468" builtinId="8" hidden="1"/>
    <cellStyle name="Hyperlink" xfId="470" builtinId="8" hidden="1"/>
    <cellStyle name="Hyperlink" xfId="472" builtinId="8" hidden="1"/>
    <cellStyle name="Hyperlink" xfId="474" builtinId="8" hidden="1"/>
    <cellStyle name="Hyperlink" xfId="476" builtinId="8" hidden="1"/>
    <cellStyle name="Hyperlink" xfId="478" builtinId="8" hidden="1"/>
    <cellStyle name="Hyperlink" xfId="480" builtinId="8" hidden="1"/>
    <cellStyle name="Hyperlink" xfId="482" builtinId="8" hidden="1"/>
    <cellStyle name="Hyperlink" xfId="484" builtinId="8" hidden="1"/>
    <cellStyle name="Hyperlink" xfId="486" builtinId="8" hidden="1"/>
    <cellStyle name="Hyperlink" xfId="488" builtinId="8" hidden="1"/>
    <cellStyle name="Hyperlink" xfId="490" builtinId="8" hidden="1"/>
    <cellStyle name="Hyperlink" xfId="492" builtinId="8" hidden="1"/>
    <cellStyle name="Hyperlink" xfId="494" builtinId="8" hidden="1"/>
    <cellStyle name="Hyperlink" xfId="496" builtinId="8" hidden="1"/>
    <cellStyle name="Hyperlink" xfId="498" builtinId="8" hidden="1"/>
    <cellStyle name="Hyperlink" xfId="500" builtinId="8" hidden="1"/>
    <cellStyle name="Hyperlink" xfId="502" builtinId="8" hidden="1"/>
    <cellStyle name="Hyperlink" xfId="504" builtinId="8" hidden="1"/>
    <cellStyle name="Hyperlink" xfId="506" builtinId="8" hidden="1"/>
    <cellStyle name="Hyperlink" xfId="508" builtinId="8" hidden="1"/>
    <cellStyle name="Hyperlink" xfId="510" builtinId="8" hidden="1"/>
    <cellStyle name="Hyperlink" xfId="512" builtinId="8" hidden="1"/>
    <cellStyle name="Hyperlink" xfId="514" builtinId="8" hidden="1"/>
    <cellStyle name="Hyperlink" xfId="516" builtinId="8" hidden="1"/>
    <cellStyle name="Hyperlink" xfId="518" builtinId="8" hidden="1"/>
    <cellStyle name="Hyperlink" xfId="520" builtinId="8" hidden="1"/>
    <cellStyle name="Hyperlink" xfId="522" builtinId="8" hidden="1"/>
    <cellStyle name="Hyperlink" xfId="524" builtinId="8" hidden="1"/>
    <cellStyle name="Hyperlink" xfId="526" builtinId="8" hidden="1"/>
    <cellStyle name="Hyperlink" xfId="528" builtinId="8" hidden="1"/>
    <cellStyle name="Hyperlink" xfId="530" builtinId="8" hidden="1"/>
    <cellStyle name="Hyperlink" xfId="532" builtinId="8" hidden="1"/>
    <cellStyle name="Hyperlink" xfId="534" builtinId="8" hidden="1"/>
    <cellStyle name="Hyperlink" xfId="536" builtinId="8" hidden="1"/>
    <cellStyle name="Hyperlink" xfId="538" builtinId="8" hidden="1"/>
    <cellStyle name="Hyperlink" xfId="540" builtinId="8" hidden="1"/>
    <cellStyle name="Hyperlink" xfId="542" builtinId="8" hidden="1"/>
    <cellStyle name="Hyperlink" xfId="544" builtinId="8" hidden="1"/>
    <cellStyle name="Hyperlink" xfId="546" builtinId="8" hidden="1"/>
    <cellStyle name="Hyperlink" xfId="548" builtinId="8" hidden="1"/>
    <cellStyle name="Hyperlink" xfId="550" builtinId="8" hidden="1"/>
    <cellStyle name="Hyperlink" xfId="552" builtinId="8" hidden="1"/>
    <cellStyle name="Hyperlink" xfId="554" builtinId="8" hidden="1"/>
    <cellStyle name="Hyperlink" xfId="556" builtinId="8" hidden="1"/>
    <cellStyle name="Hyperlink" xfId="558" builtinId="8" hidden="1"/>
    <cellStyle name="Hyperlink" xfId="560" builtinId="8" hidden="1"/>
    <cellStyle name="Hyperlink" xfId="562" builtinId="8" hidden="1"/>
    <cellStyle name="Hyperlink" xfId="564" builtinId="8" hidden="1"/>
    <cellStyle name="Hyperlink" xfId="566" builtinId="8" hidden="1"/>
    <cellStyle name="Hyperlink" xfId="568" builtinId="8" hidden="1"/>
    <cellStyle name="Hyperlink" xfId="570" builtinId="8" hidden="1"/>
    <cellStyle name="Hyperlink" xfId="572" builtinId="8" hidden="1"/>
    <cellStyle name="Hyperlink" xfId="574" builtinId="8" hidden="1"/>
    <cellStyle name="Hyperlink" xfId="576" builtinId="8" hidden="1"/>
    <cellStyle name="Hyperlink" xfId="578" builtinId="8" hidden="1"/>
    <cellStyle name="Hyperlink" xfId="580" builtinId="8" hidden="1"/>
    <cellStyle name="Hyperlink" xfId="582" builtinId="8" hidden="1"/>
    <cellStyle name="Hyperlink" xfId="584" builtinId="8" hidden="1"/>
    <cellStyle name="Hyperlink" xfId="586" builtinId="8" hidden="1"/>
    <cellStyle name="Hyperlink" xfId="588" builtinId="8" hidden="1"/>
    <cellStyle name="Hyperlink" xfId="590" builtinId="8" hidden="1"/>
    <cellStyle name="Hyperlink" xfId="592" builtinId="8" hidden="1"/>
    <cellStyle name="Hyperlink" xfId="594" builtinId="8" hidden="1"/>
    <cellStyle name="Hyperlink" xfId="596" builtinId="8" hidden="1"/>
    <cellStyle name="Hyperlink" xfId="598" builtinId="8" hidden="1"/>
    <cellStyle name="Hyperlink" xfId="600" builtinId="8" hidden="1"/>
    <cellStyle name="Hyperlink" xfId="602" builtinId="8" hidden="1"/>
    <cellStyle name="Hyperlink" xfId="604" builtinId="8" hidden="1"/>
    <cellStyle name="Hyperlink" xfId="606" builtinId="8" hidden="1"/>
    <cellStyle name="Hyperlink" xfId="608" builtinId="8" hidden="1"/>
    <cellStyle name="Hyperlink" xfId="610" builtinId="8" hidden="1"/>
    <cellStyle name="Hyperlink" xfId="612" builtinId="8" hidden="1"/>
    <cellStyle name="Hyperlink" xfId="614" builtinId="8" hidden="1"/>
    <cellStyle name="Hyperlink" xfId="616" builtinId="8" hidden="1"/>
    <cellStyle name="Hyperlink" xfId="618" builtinId="8" hidden="1"/>
    <cellStyle name="Hyperlink" xfId="620" builtinId="8" hidden="1"/>
    <cellStyle name="Hyperlink" xfId="622" builtinId="8" hidden="1"/>
    <cellStyle name="Hyperlink" xfId="624" builtinId="8" hidden="1"/>
    <cellStyle name="Hyperlink" xfId="626" builtinId="8" hidden="1"/>
    <cellStyle name="Hyperlink" xfId="628" builtinId="8" hidden="1"/>
    <cellStyle name="Hyperlink" xfId="630" builtinId="8" hidden="1"/>
    <cellStyle name="Hyperlink" xfId="632" builtinId="8" hidden="1"/>
    <cellStyle name="Hyperlink" xfId="634" builtinId="8" hidden="1"/>
    <cellStyle name="Hyperlink" xfId="636" builtinId="8" hidden="1"/>
    <cellStyle name="Hyperlink" xfId="638" builtinId="8" hidden="1"/>
    <cellStyle name="Hyperlink" xfId="640" builtinId="8" hidden="1"/>
    <cellStyle name="Hyperlink" xfId="642" builtinId="8" hidden="1"/>
    <cellStyle name="Hyperlink" xfId="644" builtinId="8" hidden="1"/>
    <cellStyle name="Hyperlink" xfId="646" builtinId="8" hidden="1"/>
    <cellStyle name="Hyperlink" xfId="648" builtinId="8" hidden="1"/>
    <cellStyle name="Hyperlink" xfId="650" builtinId="8" hidden="1"/>
    <cellStyle name="Hyperlink" xfId="652" builtinId="8" hidden="1"/>
    <cellStyle name="Hyperlink" xfId="654" builtinId="8" hidden="1"/>
    <cellStyle name="Hyperlink" xfId="656" builtinId="8" hidden="1"/>
    <cellStyle name="Hyperlink" xfId="658" builtinId="8" hidden="1"/>
    <cellStyle name="Hyperlink" xfId="660" builtinId="8" hidden="1"/>
    <cellStyle name="Hyperlink" xfId="662" builtinId="8" hidden="1"/>
    <cellStyle name="Hyperlink" xfId="664" builtinId="8" hidden="1"/>
    <cellStyle name="Hyperlink" xfId="666" builtinId="8" hidden="1"/>
    <cellStyle name="Hyperlink" xfId="668" builtinId="8" hidden="1"/>
    <cellStyle name="Hyperlink" xfId="670" builtinId="8" hidden="1"/>
    <cellStyle name="Hyperlink" xfId="672" builtinId="8" hidden="1"/>
    <cellStyle name="Hyperlink" xfId="674" builtinId="8" hidden="1"/>
    <cellStyle name="Hyperlink" xfId="676" builtinId="8" hidden="1"/>
    <cellStyle name="Hyperlink" xfId="678" builtinId="8" hidden="1"/>
    <cellStyle name="Hyperlink" xfId="680" builtinId="8" hidden="1"/>
    <cellStyle name="Hyperlink" xfId="682" builtinId="8" hidden="1"/>
    <cellStyle name="Hyperlink" xfId="684" builtinId="8" hidden="1"/>
    <cellStyle name="Hyperlink" xfId="686" builtinId="8" hidden="1"/>
    <cellStyle name="Hyperlink" xfId="688" builtinId="8" hidden="1"/>
    <cellStyle name="Hyperlink" xfId="690" builtinId="8" hidden="1"/>
    <cellStyle name="Hyperlink" xfId="692" builtinId="8" hidden="1"/>
    <cellStyle name="Hyperlink" xfId="694" builtinId="8" hidden="1"/>
    <cellStyle name="Hyperlink" xfId="696" builtinId="8" hidden="1"/>
    <cellStyle name="Hyperlink" xfId="698" builtinId="8" hidden="1"/>
    <cellStyle name="Hyperlink" xfId="700" builtinId="8" hidden="1"/>
    <cellStyle name="Hyperlink" xfId="702" builtinId="8" hidden="1"/>
    <cellStyle name="Hyperlink" xfId="704" builtinId="8" hidden="1"/>
    <cellStyle name="Hyperlink" xfId="706" builtinId="8" hidden="1"/>
    <cellStyle name="Hyperlink" xfId="708" builtinId="8" hidden="1"/>
    <cellStyle name="Hyperlink" xfId="710" builtinId="8" hidden="1"/>
    <cellStyle name="Hyperlink" xfId="712" builtinId="8" hidden="1"/>
    <cellStyle name="Hyperlink" xfId="714" builtinId="8" hidden="1"/>
    <cellStyle name="Hyperlink" xfId="716" builtinId="8" hidden="1"/>
    <cellStyle name="Hyperlink" xfId="718" builtinId="8" hidden="1"/>
    <cellStyle name="Hyperlink" xfId="720" builtinId="8" hidden="1"/>
    <cellStyle name="Hyperlink" xfId="722" builtinId="8" hidden="1"/>
    <cellStyle name="Hyperlink" xfId="724" builtinId="8" hidden="1"/>
    <cellStyle name="Hyperlink" xfId="726" builtinId="8" hidden="1"/>
    <cellStyle name="Hyperlink" xfId="728" builtinId="8" hidden="1"/>
    <cellStyle name="Hyperlink" xfId="730" builtinId="8" hidden="1"/>
    <cellStyle name="Hyperlink" xfId="732" builtinId="8" hidden="1"/>
    <cellStyle name="Hyperlink" xfId="734" builtinId="8" hidden="1"/>
    <cellStyle name="Hyperlink" xfId="736" builtinId="8" hidden="1"/>
    <cellStyle name="Hyperlink" xfId="738" builtinId="8" hidden="1"/>
    <cellStyle name="Hyperlink" xfId="740" builtinId="8" hidden="1"/>
    <cellStyle name="Hyperlink" xfId="742" builtinId="8" hidden="1"/>
    <cellStyle name="Hyperlink" xfId="744" builtinId="8" hidden="1"/>
    <cellStyle name="Hyperlink" xfId="746" builtinId="8" hidden="1"/>
    <cellStyle name="Hyperlink" xfId="748" builtinId="8" hidden="1"/>
    <cellStyle name="Hyperlink" xfId="750" builtinId="8" hidden="1"/>
    <cellStyle name="Hyperlink" xfId="752" builtinId="8" hidden="1"/>
    <cellStyle name="Hyperlink" xfId="754" builtinId="8" hidden="1"/>
    <cellStyle name="Hyperlink" xfId="756" builtinId="8" hidden="1"/>
    <cellStyle name="Hyperlink" xfId="758" builtinId="8" hidden="1"/>
    <cellStyle name="Hyperlink" xfId="760" builtinId="8" hidden="1"/>
    <cellStyle name="Hyperlink" xfId="762" builtinId="8" hidden="1"/>
    <cellStyle name="Hyperlink" xfId="764" builtinId="8" hidden="1"/>
    <cellStyle name="Hyperlink" xfId="766" builtinId="8" hidden="1"/>
    <cellStyle name="Hyperlink" xfId="768" builtinId="8" hidden="1"/>
    <cellStyle name="Hyperlink" xfId="770" builtinId="8" hidden="1"/>
    <cellStyle name="Hyperlink" xfId="772" builtinId="8" hidden="1"/>
    <cellStyle name="Hyperlink" xfId="774" builtinId="8" hidden="1"/>
    <cellStyle name="Hyperlink" xfId="776" builtinId="8" hidden="1"/>
    <cellStyle name="Hyperlink" xfId="778" builtinId="8" hidden="1"/>
    <cellStyle name="Hyperlink" xfId="780" builtinId="8" hidden="1"/>
    <cellStyle name="Hyperlink" xfId="782" builtinId="8" hidden="1"/>
    <cellStyle name="Hyperlink" xfId="784" builtinId="8" hidden="1"/>
    <cellStyle name="Hyperlink" xfId="786" builtinId="8" hidden="1"/>
    <cellStyle name="Hyperlink" xfId="788" builtinId="8" hidden="1"/>
    <cellStyle name="Hyperlink" xfId="790" builtinId="8" hidden="1"/>
    <cellStyle name="Hyperlink" xfId="792" builtinId="8" hidden="1"/>
    <cellStyle name="Hyperlink" xfId="794" builtinId="8" hidden="1"/>
    <cellStyle name="Hyperlink" xfId="796" builtinId="8" hidden="1"/>
    <cellStyle name="Hyperlink" xfId="798" builtinId="8" hidden="1"/>
    <cellStyle name="Hyperlink" xfId="800" builtinId="8" hidden="1"/>
    <cellStyle name="Hyperlink" xfId="802" builtinId="8" hidden="1"/>
    <cellStyle name="Hyperlink" xfId="804" builtinId="8" hidden="1"/>
    <cellStyle name="Hyperlink" xfId="806" builtinId="8" hidden="1"/>
    <cellStyle name="Hyperlink" xfId="808" builtinId="8" hidden="1"/>
    <cellStyle name="Hyperlink" xfId="810" builtinId="8" hidden="1"/>
    <cellStyle name="Hyperlink" xfId="812" builtinId="8" hidden="1"/>
    <cellStyle name="Hyperlink" xfId="814" builtinId="8" hidden="1"/>
    <cellStyle name="Hyperlink" xfId="816" builtinId="8" hidden="1"/>
    <cellStyle name="Hyperlink" xfId="818" builtinId="8" hidden="1"/>
    <cellStyle name="Hyperlink" xfId="820" builtinId="8" hidden="1"/>
    <cellStyle name="Hyperlink" xfId="822" builtinId="8" hidden="1"/>
    <cellStyle name="Hyperlink" xfId="824" builtinId="8" hidden="1"/>
    <cellStyle name="Hyperlink" xfId="826" builtinId="8" hidden="1"/>
    <cellStyle name="Hyperlink" xfId="828" builtinId="8" hidden="1"/>
    <cellStyle name="Hyperlink" xfId="830" builtinId="8" hidden="1"/>
    <cellStyle name="Hyperlink" xfId="832" builtinId="8" hidden="1"/>
    <cellStyle name="Hyperlink" xfId="834" builtinId="8" hidden="1"/>
    <cellStyle name="Hyperlink" xfId="836" builtinId="8" hidden="1"/>
    <cellStyle name="Hyperlink" xfId="838" builtinId="8" hidden="1"/>
    <cellStyle name="Hyperlink" xfId="840" builtinId="8" hidden="1"/>
    <cellStyle name="Hyperlink" xfId="842" builtinId="8" hidden="1"/>
    <cellStyle name="Hyperlink" xfId="844" builtinId="8" hidden="1"/>
    <cellStyle name="Hyperlink" xfId="846" builtinId="8" hidden="1"/>
    <cellStyle name="Hyperlink" xfId="848" builtinId="8" hidden="1"/>
    <cellStyle name="Hyperlink" xfId="850" builtinId="8" hidden="1"/>
    <cellStyle name="Hyperlink" xfId="852" builtinId="8" hidden="1"/>
    <cellStyle name="Hyperlink" xfId="854" builtinId="8" hidden="1"/>
    <cellStyle name="Hyperlink" xfId="856" builtinId="8" hidden="1"/>
    <cellStyle name="Hyperlink" xfId="858" builtinId="8" hidden="1"/>
    <cellStyle name="Hyperlink" xfId="860" builtinId="8" hidden="1"/>
    <cellStyle name="Hyperlink" xfId="862" builtinId="8" hidden="1"/>
    <cellStyle name="Hyperlink" xfId="864" builtinId="8" hidden="1"/>
    <cellStyle name="Hyperlink" xfId="866" builtinId="8" hidden="1"/>
    <cellStyle name="Hyperlink" xfId="868" builtinId="8" hidden="1"/>
    <cellStyle name="Hyperlink" xfId="870" builtinId="8" hidden="1"/>
    <cellStyle name="Hyperlink" xfId="872" builtinId="8" hidden="1"/>
    <cellStyle name="Hyperlink" xfId="874" builtinId="8" hidden="1"/>
    <cellStyle name="Hyperlink" xfId="876" builtinId="8" hidden="1"/>
    <cellStyle name="Hyperlink" xfId="878" builtinId="8" hidden="1"/>
    <cellStyle name="Hyperlink" xfId="880" builtinId="8" hidden="1"/>
    <cellStyle name="Hyperlink" xfId="882" builtinId="8" hidden="1"/>
    <cellStyle name="Hyperlink" xfId="884" builtinId="8" hidden="1"/>
    <cellStyle name="Hyperlink" xfId="886" builtinId="8" hidden="1"/>
    <cellStyle name="Hyperlink" xfId="888" builtinId="8" hidden="1"/>
    <cellStyle name="Hyperlink" xfId="890" builtinId="8" hidden="1"/>
    <cellStyle name="Hyperlink" xfId="892" builtinId="8" hidden="1"/>
    <cellStyle name="Hyperlink" xfId="894" builtinId="8" hidden="1"/>
    <cellStyle name="Hyperlink" xfId="896" builtinId="8" hidden="1"/>
    <cellStyle name="Hyperlink" xfId="898" builtinId="8" hidden="1"/>
    <cellStyle name="Hyperlink" xfId="900" builtinId="8" hidden="1"/>
    <cellStyle name="Hyperlink" xfId="902" builtinId="8" hidden="1"/>
    <cellStyle name="Hyperlink" xfId="904" builtinId="8" hidden="1"/>
    <cellStyle name="Hyperlink" xfId="906" builtinId="8" hidden="1"/>
    <cellStyle name="Hyperlink" xfId="908" builtinId="8" hidden="1"/>
    <cellStyle name="Hyperlink" xfId="910" builtinId="8" hidden="1"/>
    <cellStyle name="Hyperlink" xfId="912" builtinId="8" hidden="1"/>
    <cellStyle name="Hyperlink" xfId="914" builtinId="8" hidden="1"/>
    <cellStyle name="Hyperlink" xfId="916" builtinId="8" hidden="1"/>
    <cellStyle name="Hyperlink" xfId="918" builtinId="8" hidden="1"/>
    <cellStyle name="Hyperlink" xfId="920" builtinId="8" hidden="1"/>
    <cellStyle name="Hyperlink" xfId="922" builtinId="8" hidden="1"/>
    <cellStyle name="Hyperlink" xfId="924" builtinId="8" hidden="1"/>
    <cellStyle name="Hyperlink" xfId="926" builtinId="8" hidden="1"/>
    <cellStyle name="Hyperlink" xfId="928" builtinId="8" hidden="1"/>
    <cellStyle name="Hyperlink" xfId="930" builtinId="8" hidden="1"/>
    <cellStyle name="Hyperlink" xfId="932" builtinId="8" hidden="1"/>
    <cellStyle name="Hyperlink" xfId="934" builtinId="8" hidden="1"/>
    <cellStyle name="Hyperlink" xfId="936" builtinId="8" hidden="1"/>
    <cellStyle name="Hyperlink" xfId="938" builtinId="8" hidden="1"/>
    <cellStyle name="Hyperlink" xfId="940" builtinId="8" hidden="1"/>
    <cellStyle name="Hyperlink" xfId="942" builtinId="8" hidden="1"/>
    <cellStyle name="Hyperlink" xfId="944" builtinId="8" hidden="1"/>
    <cellStyle name="Hyperlink" xfId="946" builtinId="8" hidden="1"/>
    <cellStyle name="Hyperlink" xfId="948" builtinId="8" hidden="1"/>
    <cellStyle name="Hyperlink" xfId="950" builtinId="8" hidden="1"/>
    <cellStyle name="Hyperlink" xfId="952" builtinId="8" hidden="1"/>
    <cellStyle name="Hyperlink" xfId="954" builtinId="8" hidden="1"/>
    <cellStyle name="Hyperlink" xfId="956" builtinId="8" hidden="1"/>
    <cellStyle name="Hyperlink" xfId="958" builtinId="8" hidden="1"/>
    <cellStyle name="Hyperlink" xfId="960" builtinId="8" hidden="1"/>
    <cellStyle name="Hyperlink" xfId="962" builtinId="8" hidden="1"/>
    <cellStyle name="Hyperlink" xfId="964" builtinId="8" hidden="1"/>
    <cellStyle name="Hyperlink" xfId="966" builtinId="8" hidden="1"/>
    <cellStyle name="Hyperlink" xfId="968" builtinId="8" hidden="1"/>
    <cellStyle name="Hyperlink" xfId="970" builtinId="8" hidden="1"/>
    <cellStyle name="Hyperlink" xfId="972" builtinId="8" hidden="1"/>
    <cellStyle name="Hyperlink" xfId="974" builtinId="8" hidden="1"/>
    <cellStyle name="Hyperlink" xfId="976" builtinId="8" hidden="1"/>
    <cellStyle name="Hyperlink" xfId="978" builtinId="8" hidden="1"/>
    <cellStyle name="Hyperlink" xfId="980" builtinId="8" hidden="1"/>
    <cellStyle name="Hyperlink" xfId="982" builtinId="8" hidden="1"/>
    <cellStyle name="Hyperlink" xfId="984" builtinId="8" hidden="1"/>
    <cellStyle name="Hyperlink" xfId="986" builtinId="8" hidden="1"/>
    <cellStyle name="Hyperlink" xfId="988" builtinId="8" hidden="1"/>
    <cellStyle name="Hyperlink" xfId="990" builtinId="8" hidden="1"/>
    <cellStyle name="Hyperlink" xfId="992" builtinId="8" hidden="1"/>
    <cellStyle name="Hyperlink" xfId="994" builtinId="8" hidden="1"/>
    <cellStyle name="Hyperlink" xfId="996" builtinId="8" hidden="1"/>
    <cellStyle name="Hyperlink" xfId="998" builtinId="8" hidden="1"/>
    <cellStyle name="Hyperlink" xfId="1000" builtinId="8" hidden="1"/>
    <cellStyle name="Hyperlink" xfId="1002" builtinId="8" hidden="1"/>
    <cellStyle name="Hyperlink" xfId="1004" builtinId="8" hidden="1"/>
    <cellStyle name="Hyperlink" xfId="1006" builtinId="8" hidden="1"/>
    <cellStyle name="Hyperlink" xfId="1008" builtinId="8" hidden="1"/>
    <cellStyle name="Hyperlink" xfId="1010" builtinId="8" hidden="1"/>
    <cellStyle name="Hyperlink" xfId="1012" builtinId="8" hidden="1"/>
    <cellStyle name="Hyperlink" xfId="1014" builtinId="8" hidden="1"/>
    <cellStyle name="Hyperlink" xfId="1016" builtinId="8" hidden="1"/>
    <cellStyle name="Hyperlink" xfId="1018" builtinId="8" hidden="1"/>
    <cellStyle name="Hyperlink" xfId="1020" builtinId="8" hidden="1"/>
    <cellStyle name="Hyperlink" xfId="1022" builtinId="8" hidden="1"/>
    <cellStyle name="Hyperlink" xfId="1024" builtinId="8" hidden="1"/>
    <cellStyle name="Hyperlink" xfId="1026" builtinId="8" hidden="1"/>
    <cellStyle name="Hyperlink" xfId="1028" builtinId="8" hidden="1"/>
    <cellStyle name="Hyperlink" xfId="1030" builtinId="8" hidden="1"/>
    <cellStyle name="Hyperlink" xfId="1032" builtinId="8" hidden="1"/>
    <cellStyle name="Hyperlink" xfId="1034" builtinId="8" hidden="1"/>
    <cellStyle name="Hyperlink" xfId="1036" builtinId="8" hidden="1"/>
    <cellStyle name="Hyperlink" xfId="1038" builtinId="8" hidden="1"/>
    <cellStyle name="Hyperlink" xfId="1040" builtinId="8" hidden="1"/>
    <cellStyle name="Hyperlink" xfId="1042" builtinId="8" hidden="1"/>
    <cellStyle name="Hyperlink" xfId="1044" builtinId="8" hidden="1"/>
    <cellStyle name="Hyperlink" xfId="1046" builtinId="8" hidden="1"/>
    <cellStyle name="Hyperlink" xfId="1048" builtinId="8" hidden="1"/>
    <cellStyle name="Hyperlink" xfId="1050" builtinId="8" hidden="1"/>
    <cellStyle name="Hyperlink" xfId="1052" builtinId="8" hidden="1"/>
    <cellStyle name="Hyperlink" xfId="1054" builtinId="8" hidden="1"/>
    <cellStyle name="Hyperlink" xfId="1056" builtinId="8" hidden="1"/>
    <cellStyle name="Hyperlink" xfId="1058" builtinId="8" hidden="1"/>
    <cellStyle name="Hyperlink" xfId="1060" builtinId="8" hidden="1"/>
    <cellStyle name="Hyperlink" xfId="1062" builtinId="8" hidden="1"/>
    <cellStyle name="Hyperlink" xfId="1064" builtinId="8" hidden="1"/>
    <cellStyle name="Hyperlink" xfId="1066" builtinId="8" hidden="1"/>
    <cellStyle name="Hyperlink" xfId="1068" builtinId="8" hidden="1"/>
    <cellStyle name="Hyperlink" xfId="1070" builtinId="8" hidden="1"/>
    <cellStyle name="Hyperlink" xfId="1072" builtinId="8" hidden="1"/>
    <cellStyle name="Hyperlink" xfId="1074" builtinId="8" hidden="1"/>
    <cellStyle name="Hyperlink" xfId="1076" builtinId="8" hidden="1"/>
    <cellStyle name="Hyperlink" xfId="1078" builtinId="8" hidden="1"/>
    <cellStyle name="Hyperlink" xfId="1080" builtinId="8" hidden="1"/>
    <cellStyle name="Hyperlink" xfId="1082" builtinId="8" hidden="1"/>
    <cellStyle name="Hyperlink" xfId="1084" builtinId="8" hidden="1"/>
    <cellStyle name="Hyperlink" xfId="1086" builtinId="8" hidden="1"/>
    <cellStyle name="Hyperlink" xfId="1088" builtinId="8" hidden="1"/>
    <cellStyle name="Hyperlink" xfId="1090" builtinId="8" hidden="1"/>
    <cellStyle name="Hyperlink" xfId="1092" builtinId="8" hidden="1"/>
    <cellStyle name="Hyperlink" xfId="1094" builtinId="8" hidden="1"/>
    <cellStyle name="Hyperlink" xfId="1096" builtinId="8" hidden="1"/>
    <cellStyle name="Hyperlink" xfId="1098" builtinId="8" hidden="1"/>
    <cellStyle name="Hyperlink" xfId="1100" builtinId="8" hidden="1"/>
    <cellStyle name="Hyperlink" xfId="1102" builtinId="8" hidden="1"/>
    <cellStyle name="Hyperlink" xfId="1104" builtinId="8" hidden="1"/>
    <cellStyle name="Hyperlink" xfId="1106" builtinId="8" hidden="1"/>
    <cellStyle name="Hyperlink" xfId="1108" builtinId="8" hidden="1"/>
    <cellStyle name="Hyperlink" xfId="1110" builtinId="8" hidden="1"/>
    <cellStyle name="Hyperlink" xfId="1112" builtinId="8" hidden="1"/>
    <cellStyle name="Hyperlink" xfId="1114" builtinId="8" hidden="1"/>
    <cellStyle name="Hyperlink" xfId="1116" builtinId="8" hidden="1"/>
    <cellStyle name="Hyperlink" xfId="1118" builtinId="8" hidden="1"/>
    <cellStyle name="Hyperlink" xfId="1120" builtinId="8" hidden="1"/>
    <cellStyle name="Hyperlink" xfId="1122" builtinId="8" hidden="1"/>
    <cellStyle name="Hyperlink" xfId="1124" builtinId="8" hidden="1"/>
    <cellStyle name="Hyperlink" xfId="1126" builtinId="8" hidden="1"/>
    <cellStyle name="Hyperlink" xfId="1128" builtinId="8" hidden="1"/>
    <cellStyle name="Hyperlink" xfId="1130" builtinId="8" hidden="1"/>
    <cellStyle name="Hyperlink" xfId="1132" builtinId="8" hidden="1"/>
    <cellStyle name="Hyperlink" xfId="1134" builtinId="8" hidden="1"/>
    <cellStyle name="Hyperlink" xfId="1136" builtinId="8" hidden="1"/>
    <cellStyle name="Hyperlink" xfId="1138" builtinId="8" hidden="1"/>
    <cellStyle name="Hyperlink" xfId="1140" builtinId="8" hidden="1"/>
    <cellStyle name="Hyperlink" xfId="1142" builtinId="8" hidden="1"/>
    <cellStyle name="Hyperlink" xfId="1144" builtinId="8" hidden="1"/>
    <cellStyle name="Hyperlink" xfId="1146" builtinId="8" hidden="1"/>
    <cellStyle name="Hyperlink" xfId="1148" builtinId="8" hidden="1"/>
    <cellStyle name="Hyperlink" xfId="1150" builtinId="8" hidden="1"/>
    <cellStyle name="Hyperlink" xfId="1152" builtinId="8" hidden="1"/>
    <cellStyle name="Hyperlink" xfId="1154" builtinId="8" hidden="1"/>
    <cellStyle name="Hyperlink" xfId="1156" builtinId="8" hidden="1"/>
    <cellStyle name="Hyperlink" xfId="1158" builtinId="8" hidden="1"/>
    <cellStyle name="Hyperlink" xfId="1160" builtinId="8" hidden="1"/>
    <cellStyle name="Hyperlink" xfId="1162" builtinId="8" hidden="1"/>
    <cellStyle name="Hyperlink" xfId="1164" builtinId="8" hidden="1"/>
    <cellStyle name="Hyperlink" xfId="1166" builtinId="8" hidden="1"/>
    <cellStyle name="Hyperlink" xfId="1168" builtinId="8" hidden="1"/>
    <cellStyle name="Hyperlink" xfId="1170" builtinId="8" hidden="1"/>
    <cellStyle name="Hyperlink" xfId="1172" builtinId="8" hidden="1"/>
    <cellStyle name="Hyperlink" xfId="1174" builtinId="8" hidden="1"/>
    <cellStyle name="Hyperlink" xfId="1176" builtinId="8" hidden="1"/>
    <cellStyle name="Hyperlink" xfId="1178" builtinId="8" hidden="1"/>
    <cellStyle name="Hyperlink" xfId="1180" builtinId="8" hidden="1"/>
    <cellStyle name="Hyperlink" xfId="1182" builtinId="8" hidden="1"/>
    <cellStyle name="Hyperlink" xfId="1184" builtinId="8" hidden="1"/>
    <cellStyle name="Hyperlink" xfId="1186" builtinId="8" hidden="1"/>
    <cellStyle name="Hyperlink" xfId="1188" builtinId="8" hidden="1"/>
    <cellStyle name="Hyperlink" xfId="1190" builtinId="8" hidden="1"/>
    <cellStyle name="Hyperlink" xfId="1192" builtinId="8" hidden="1"/>
    <cellStyle name="Hyperlink" xfId="1194" builtinId="8" hidden="1"/>
    <cellStyle name="Hyperlink" xfId="1196" builtinId="8" hidden="1"/>
    <cellStyle name="Hyperlink" xfId="1198" builtinId="8" hidden="1"/>
    <cellStyle name="Hyperlink" xfId="1200" builtinId="8" hidden="1"/>
    <cellStyle name="Hyperlink" xfId="1202" builtinId="8" hidden="1"/>
    <cellStyle name="Hyperlink" xfId="1204" builtinId="8" hidden="1"/>
    <cellStyle name="Hyperlink" xfId="1206" builtinId="8" hidden="1"/>
    <cellStyle name="Hyperlink" xfId="1208" builtinId="8" hidden="1"/>
    <cellStyle name="Hyperlink" xfId="1210" builtinId="8" hidden="1"/>
    <cellStyle name="Hyperlink" xfId="1212" builtinId="8" hidden="1"/>
    <cellStyle name="Hyperlink" xfId="1214" builtinId="8" hidden="1"/>
    <cellStyle name="Hyperlink" xfId="1216" builtinId="8" hidden="1"/>
    <cellStyle name="Hyperlink" xfId="1218" builtinId="8" hidden="1"/>
    <cellStyle name="Hyperlink" xfId="1220" builtinId="8" hidden="1"/>
    <cellStyle name="Hyperlink" xfId="1222" builtinId="8" hidden="1"/>
    <cellStyle name="Hyperlink" xfId="1224" builtinId="8" hidden="1"/>
    <cellStyle name="Hyperlink" xfId="1226" builtinId="8" hidden="1"/>
    <cellStyle name="Hyperlink" xfId="1228" builtinId="8" hidden="1"/>
    <cellStyle name="Hyperlink" xfId="1230" builtinId="8" hidden="1"/>
    <cellStyle name="Hyperlink" xfId="1232" builtinId="8" hidden="1"/>
    <cellStyle name="Hyperlink" xfId="1234" builtinId="8" hidden="1"/>
    <cellStyle name="Hyperlink" xfId="1236" builtinId="8" hidden="1"/>
    <cellStyle name="Hyperlink" xfId="1238" builtinId="8" hidden="1"/>
    <cellStyle name="Hyperlink" xfId="1240" builtinId="8" hidden="1"/>
    <cellStyle name="Hyperlink" xfId="1242" builtinId="8" hidden="1"/>
    <cellStyle name="Hyperlink" xfId="1244" builtinId="8" hidden="1"/>
    <cellStyle name="Hyperlink" xfId="1246" builtinId="8" hidden="1"/>
    <cellStyle name="Hyperlink" xfId="1248" builtinId="8" hidden="1"/>
    <cellStyle name="Hyperlink" xfId="1250" builtinId="8" hidden="1"/>
    <cellStyle name="Hyperlink" xfId="1252" builtinId="8" hidden="1"/>
    <cellStyle name="Hyperlink" xfId="1254" builtinId="8" hidden="1"/>
    <cellStyle name="Hyperlink" xfId="1256" builtinId="8" hidden="1"/>
    <cellStyle name="Hyperlink" xfId="1258" builtinId="8" hidden="1"/>
    <cellStyle name="Hyperlink" xfId="1260" builtinId="8" hidden="1"/>
    <cellStyle name="Hyperlink" xfId="1262" builtinId="8" hidden="1"/>
    <cellStyle name="Hyperlink" xfId="1264" builtinId="8" hidden="1"/>
    <cellStyle name="Hyperlink" xfId="1266" builtinId="8" hidden="1"/>
    <cellStyle name="Hyperlink" xfId="1268" builtinId="8" hidden="1"/>
    <cellStyle name="Hyperlink" xfId="1270" builtinId="8" hidden="1"/>
    <cellStyle name="Hyperlink" xfId="1272" builtinId="8" hidden="1"/>
    <cellStyle name="Hyperlink" xfId="1274" builtinId="8" hidden="1"/>
    <cellStyle name="Hyperlink" xfId="1276" builtinId="8" hidden="1"/>
    <cellStyle name="Hyperlink" xfId="1278" builtinId="8" hidden="1"/>
    <cellStyle name="Hyperlink" xfId="1280" builtinId="8" hidden="1"/>
    <cellStyle name="Hyperlink" xfId="1282" builtinId="8" hidden="1"/>
    <cellStyle name="Hyperlink" xfId="1284" builtinId="8" hidden="1"/>
    <cellStyle name="Hyperlink" xfId="1286" builtinId="8" hidden="1"/>
    <cellStyle name="Hyperlink" xfId="1288" builtinId="8" hidden="1"/>
    <cellStyle name="Hyperlink" xfId="1290" builtinId="8" hidden="1"/>
    <cellStyle name="Hyperlink" xfId="1292" builtinId="8" hidden="1"/>
    <cellStyle name="Hyperlink" xfId="1294" builtinId="8" hidden="1"/>
    <cellStyle name="Hyperlink" xfId="1296" builtinId="8" hidden="1"/>
    <cellStyle name="Hyperlink" xfId="1298" builtinId="8" hidden="1"/>
    <cellStyle name="Hyperlink" xfId="1300" builtinId="8" hidden="1"/>
    <cellStyle name="Hyperlink" xfId="1302" builtinId="8" hidden="1"/>
    <cellStyle name="Hyperlink" xfId="1304" builtinId="8" hidden="1"/>
    <cellStyle name="Hyperlink" xfId="1306" builtinId="8" hidden="1"/>
    <cellStyle name="Hyperlink" xfId="1308" builtinId="8" hidden="1"/>
    <cellStyle name="Hyperlink" xfId="1310" builtinId="8" hidden="1"/>
    <cellStyle name="Hyperlink" xfId="1312" builtinId="8" hidden="1"/>
    <cellStyle name="Hyperlink" xfId="1314" builtinId="8" hidden="1"/>
    <cellStyle name="Hyperlink" xfId="1316" builtinId="8" hidden="1"/>
    <cellStyle name="Hyperlink" xfId="1318" builtinId="8" hidden="1"/>
    <cellStyle name="Hyperlink" xfId="1320" builtinId="8" hidden="1"/>
    <cellStyle name="Hyperlink" xfId="1322" builtinId="8" hidden="1"/>
    <cellStyle name="Hyperlink" xfId="1324" builtinId="8" hidden="1"/>
    <cellStyle name="Hyperlink" xfId="1326" builtinId="8" hidden="1"/>
    <cellStyle name="Hyperlink" xfId="1328" builtinId="8" hidden="1"/>
    <cellStyle name="Hyperlink" xfId="1330" builtinId="8" hidden="1"/>
    <cellStyle name="Hyperlink" xfId="1332" builtinId="8" hidden="1"/>
    <cellStyle name="Hyperlink" xfId="1334" builtinId="8" hidden="1"/>
    <cellStyle name="Hyperlink" xfId="1336" builtinId="8" hidden="1"/>
    <cellStyle name="Hyperlink" xfId="1338" builtinId="8" hidden="1"/>
    <cellStyle name="Hyperlink" xfId="1340" builtinId="8" hidden="1"/>
    <cellStyle name="Hyperlink" xfId="1342" builtinId="8" hidden="1"/>
    <cellStyle name="Hyperlink" xfId="1344" builtinId="8" hidden="1"/>
    <cellStyle name="Hyperlink" xfId="1346" builtinId="8" hidden="1"/>
    <cellStyle name="Hyperlink" xfId="1348" builtinId="8" hidden="1"/>
    <cellStyle name="Hyperlink" xfId="1350" builtinId="8" hidden="1"/>
    <cellStyle name="Hyperlink" xfId="1352" builtinId="8" hidden="1"/>
    <cellStyle name="Hyperlink" xfId="1354" builtinId="8" hidden="1"/>
    <cellStyle name="Hyperlink" xfId="1356" builtinId="8" hidden="1"/>
    <cellStyle name="Hyperlink" xfId="1358" builtinId="8" hidden="1"/>
    <cellStyle name="Hyperlink" xfId="1360" builtinId="8" hidden="1"/>
    <cellStyle name="Hyperlink" xfId="1362" builtinId="8" hidden="1"/>
    <cellStyle name="Hyperlink" xfId="1364" builtinId="8" hidden="1"/>
    <cellStyle name="Hyperlink" xfId="1366" builtinId="8" hidden="1"/>
    <cellStyle name="Hyperlink" xfId="1368" builtinId="8" hidden="1"/>
    <cellStyle name="Hyperlink" xfId="1370" builtinId="8" hidden="1"/>
    <cellStyle name="Hyperlink" xfId="1372" builtinId="8" hidden="1"/>
    <cellStyle name="Hyperlink" xfId="1374" builtinId="8" hidden="1"/>
    <cellStyle name="Hyperlink" xfId="1376" builtinId="8" hidden="1"/>
    <cellStyle name="Hyperlink" xfId="1378" builtinId="8" hidden="1"/>
    <cellStyle name="Hyperlink" xfId="1380" builtinId="8" hidden="1"/>
    <cellStyle name="Hyperlink" xfId="1382" builtinId="8" hidden="1"/>
    <cellStyle name="Hyperlink" xfId="1384" builtinId="8" hidden="1"/>
    <cellStyle name="Hyperlink" xfId="1386" builtinId="8" hidden="1"/>
    <cellStyle name="Hyperlink" xfId="1388" builtinId="8" hidden="1"/>
    <cellStyle name="Hyperlink" xfId="1390" builtinId="8" hidden="1"/>
    <cellStyle name="Hyperlink" xfId="1392" builtinId="8" hidden="1"/>
    <cellStyle name="Hyperlink" xfId="1394" builtinId="8" hidden="1"/>
    <cellStyle name="Hyperlink" xfId="1396" builtinId="8" hidden="1"/>
    <cellStyle name="Hyperlink" xfId="1398" builtinId="8" hidden="1"/>
    <cellStyle name="Hyperlink" xfId="1400" builtinId="8" hidden="1"/>
    <cellStyle name="Hyperlink" xfId="1402" builtinId="8" hidden="1"/>
    <cellStyle name="Hyperlink" xfId="1404" builtinId="8" hidden="1"/>
    <cellStyle name="Hyperlink" xfId="1406" builtinId="8" hidden="1"/>
    <cellStyle name="Hyperlink" xfId="1408" builtinId="8" hidden="1"/>
    <cellStyle name="Hyperlink" xfId="1410" builtinId="8" hidden="1"/>
    <cellStyle name="Hyperlink" xfId="1412" builtinId="8" hidden="1"/>
    <cellStyle name="Hyperlink" xfId="1414" builtinId="8" hidden="1"/>
    <cellStyle name="Hyperlink" xfId="1416" builtinId="8" hidden="1"/>
    <cellStyle name="Hyperlink" xfId="1418" builtinId="8" hidden="1"/>
    <cellStyle name="Hyperlink" xfId="1420" builtinId="8" hidden="1"/>
    <cellStyle name="Hyperlink" xfId="1422" builtinId="8" hidden="1"/>
    <cellStyle name="Hyperlink" xfId="1424" builtinId="8" hidden="1"/>
    <cellStyle name="Hyperlink" xfId="1426" builtinId="8" hidden="1"/>
    <cellStyle name="Hyperlink" xfId="1428" builtinId="8" hidden="1"/>
    <cellStyle name="Hyperlink" xfId="1430" builtinId="8" hidden="1"/>
    <cellStyle name="Hyperlink" xfId="1432" builtinId="8" hidden="1"/>
    <cellStyle name="Hyperlink" xfId="1434" builtinId="8" hidden="1"/>
    <cellStyle name="Hyperlink" xfId="1436" builtinId="8" hidden="1"/>
    <cellStyle name="Hyperlink" xfId="1438" builtinId="8" hidden="1"/>
    <cellStyle name="Hyperlink" xfId="1440" builtinId="8" hidden="1"/>
    <cellStyle name="Hyperlink" xfId="1442" builtinId="8" hidden="1"/>
    <cellStyle name="Hyperlink" xfId="1444" builtinId="8" hidden="1"/>
    <cellStyle name="Hyperlink" xfId="1446" builtinId="8" hidden="1"/>
    <cellStyle name="Hyperlink" xfId="1448" builtinId="8" hidden="1"/>
    <cellStyle name="Hyperlink" xfId="1450" builtinId="8" hidden="1"/>
    <cellStyle name="Hyperlink" xfId="1452" builtinId="8" hidden="1"/>
    <cellStyle name="Hyperlink" xfId="1454" builtinId="8" hidden="1"/>
    <cellStyle name="Hyperlink" xfId="1456" builtinId="8" hidden="1"/>
    <cellStyle name="Hyperlink" xfId="1458" builtinId="8" hidden="1"/>
    <cellStyle name="Hyperlink" xfId="1460" builtinId="8" hidden="1"/>
    <cellStyle name="Hyperlink" xfId="1462" builtinId="8" hidden="1"/>
    <cellStyle name="Hyperlink" xfId="1464" builtinId="8" hidden="1"/>
    <cellStyle name="Hyperlink" xfId="1466" builtinId="8" hidden="1"/>
    <cellStyle name="Hyperlink" xfId="1468" builtinId="8" hidden="1"/>
    <cellStyle name="Hyperlink" xfId="1470" builtinId="8" hidden="1"/>
    <cellStyle name="Hyperlink" xfId="1472" builtinId="8" hidden="1"/>
    <cellStyle name="Hyperlink" xfId="1474" builtinId="8" hidden="1"/>
    <cellStyle name="Hyperlink" xfId="1476" builtinId="8" hidden="1"/>
    <cellStyle name="Hyperlink" xfId="1478" builtinId="8" hidden="1"/>
    <cellStyle name="Hyperlink" xfId="1480" builtinId="8" hidden="1"/>
    <cellStyle name="Hyperlink" xfId="1482" builtinId="8" hidden="1"/>
    <cellStyle name="Hyperlink" xfId="1484" builtinId="8" hidden="1"/>
    <cellStyle name="Hyperlink" xfId="1486" builtinId="8" hidden="1"/>
    <cellStyle name="Hyperlink" xfId="1488" builtinId="8" hidden="1"/>
    <cellStyle name="Hyperlink" xfId="1490" builtinId="8" hidden="1"/>
    <cellStyle name="Hyperlink" xfId="1492" builtinId="8" hidden="1"/>
    <cellStyle name="Hyperlink" xfId="1494" builtinId="8" hidden="1"/>
    <cellStyle name="Hyperlink" xfId="1496" builtinId="8"/>
    <cellStyle name="Normal" xfId="0" builtinId="0"/>
    <cellStyle name="Normal 2" xfId="24" xr:uid="{00000000-0005-0000-0000-0000D5050000}"/>
    <cellStyle name="Normal 2 2" xfId="171" xr:uid="{00000000-0005-0000-0000-0000D6050000}"/>
    <cellStyle name="Normal 3" xfId="1" xr:uid="{00000000-0005-0000-0000-0000D705000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ncei.noaa.gov/pub/data/paleo/contributions_by_author/li2017/li2017.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ncei.noaa.gov/pub/data/paleo/contributions_by_author/clemens2021/clemens2021-u1446-mgca-noaa.txt"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ncei.noaa.gov/pub/data/paleo/contributions_by_author/henry2016/henry2016sst.txt"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1014a-tab.txt"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odp999a-tab.txt"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u939-tab.txt"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ncei.noaa.gov/pub/data/paleo/contributions_by_author/crosta2004/crosta2004.txt" TargetMode="External"/></Relationships>
</file>

<file path=xl/worksheets/_rels/sheet1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https://www.ncei.noaa.gov/pub/data/paleo/paleocean/sediment_files/complete/md2-2575-tab.txt"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0-62_sst.ager"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rc13-110_sst.ager"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19-29_sst.ager"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ncei.noaa.gov/pub/data/paleo/contributions_by_author/pisias1997b/vntr1-8_sst.ager"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ncei.noaa.gov/pub/data/paleo/contributions_by_author/dyez2016/dyez2016-sst-merge.txt"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ncei.noaa.gov/pub/data/paleo/reconstructions/kumar2022/nh22p_kumar2022.txt"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ncei.noaa.gov/pub/data/paleo/contributions_by_author/lea2004/lea2004.txt"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ncei.noaa.gov/pub/data/paleo/paleocean/sediment_files/complete/sk157_4-tab.t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01D8F-4DAE-2147-A158-CD02AB847332}">
  <sheetPr>
    <tabColor theme="6"/>
  </sheetPr>
  <dimension ref="A1:U2"/>
  <sheetViews>
    <sheetView workbookViewId="0">
      <selection activeCell="C8" sqref="C8"/>
    </sheetView>
  </sheetViews>
  <sheetFormatPr baseColWidth="10" defaultColWidth="11.5703125" defaultRowHeight="16" x14ac:dyDescent="0.2"/>
  <sheetData>
    <row r="1" spans="1:21" s="2" customFormat="1" ht="47" customHeight="1" x14ac:dyDescent="0.2">
      <c r="A1" s="3" t="s">
        <v>12</v>
      </c>
      <c r="B1" s="3" t="s">
        <v>5</v>
      </c>
      <c r="C1" s="3" t="s">
        <v>13</v>
      </c>
      <c r="D1" s="3" t="s">
        <v>14</v>
      </c>
      <c r="E1" s="4" t="s">
        <v>6</v>
      </c>
      <c r="F1" s="4" t="s">
        <v>7</v>
      </c>
      <c r="G1" s="4" t="s">
        <v>8</v>
      </c>
      <c r="H1" s="4" t="s">
        <v>1</v>
      </c>
      <c r="I1" s="4" t="s">
        <v>2</v>
      </c>
      <c r="J1" s="4" t="s">
        <v>3</v>
      </c>
      <c r="K1" s="4" t="s">
        <v>4</v>
      </c>
      <c r="L1" s="4" t="s">
        <v>10</v>
      </c>
      <c r="M1" s="4" t="s">
        <v>24</v>
      </c>
      <c r="N1" s="4" t="s">
        <v>0</v>
      </c>
      <c r="O1" s="4" t="s">
        <v>23</v>
      </c>
      <c r="P1" s="4" t="s">
        <v>15</v>
      </c>
      <c r="Q1" s="4" t="s">
        <v>16</v>
      </c>
      <c r="R1" s="4" t="s">
        <v>9</v>
      </c>
      <c r="S1" s="4" t="s">
        <v>17</v>
      </c>
      <c r="T1" s="4" t="s">
        <v>18</v>
      </c>
      <c r="U1" s="4" t="s">
        <v>19</v>
      </c>
    </row>
    <row r="2" spans="1:21" x14ac:dyDescent="0.2">
      <c r="E2" s="28" t="s">
        <v>21</v>
      </c>
      <c r="F2" s="28"/>
      <c r="G2" s="28"/>
      <c r="H2" s="28"/>
      <c r="I2" s="28"/>
      <c r="J2" s="28"/>
      <c r="K2" s="28"/>
      <c r="N2" s="27" t="s">
        <v>22</v>
      </c>
      <c r="O2" s="27"/>
      <c r="P2" s="27"/>
      <c r="Q2" s="27"/>
      <c r="R2" s="27"/>
      <c r="S2" s="27"/>
      <c r="T2" s="27"/>
      <c r="U2" s="27"/>
    </row>
  </sheetData>
  <mergeCells count="2">
    <mergeCell ref="N2:U2"/>
    <mergeCell ref="E2:K2"/>
  </mergeCells>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4A1FAE-2AF7-244A-9F03-9E4F512F3A62}">
  <sheetPr>
    <tabColor rgb="FF0000FF"/>
  </sheetPr>
  <dimension ref="A1:Z200"/>
  <sheetViews>
    <sheetView topLeftCell="N1" zoomScale="64" workbookViewId="0">
      <selection activeCell="P13" sqref="P1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ht="17" x14ac:dyDescent="0.25">
      <c r="A2" s="9" t="s">
        <v>25</v>
      </c>
      <c r="B2" s="16">
        <v>116.566</v>
      </c>
      <c r="C2" s="16">
        <v>18.835999999999999</v>
      </c>
      <c r="D2" s="16" t="s">
        <v>47</v>
      </c>
      <c r="E2" s="1"/>
      <c r="F2" s="1"/>
      <c r="G2" s="1"/>
      <c r="H2" s="17"/>
      <c r="I2" s="17"/>
      <c r="J2" s="17"/>
      <c r="K2" s="17"/>
      <c r="L2" s="17"/>
      <c r="M2" s="18"/>
      <c r="N2" s="17">
        <v>1499</v>
      </c>
      <c r="O2">
        <v>0.60599999999999998</v>
      </c>
      <c r="P2" s="1" t="s">
        <v>28</v>
      </c>
      <c r="Q2" s="1"/>
      <c r="R2" s="19">
        <v>115040</v>
      </c>
      <c r="S2" s="1"/>
      <c r="T2" s="1" t="s">
        <v>28</v>
      </c>
      <c r="U2" s="1"/>
      <c r="V2" s="6" t="s">
        <v>46</v>
      </c>
      <c r="W2" s="13" t="s">
        <v>44</v>
      </c>
      <c r="Z2">
        <v>-3296</v>
      </c>
    </row>
    <row r="3" spans="1:26" ht="17" x14ac:dyDescent="0.25">
      <c r="B3" s="1"/>
      <c r="C3" s="1"/>
      <c r="D3" s="1"/>
      <c r="E3" s="1"/>
      <c r="F3" s="1"/>
      <c r="G3" s="1"/>
      <c r="H3" s="17"/>
      <c r="I3" s="17"/>
      <c r="J3" s="17"/>
      <c r="K3" s="17"/>
      <c r="L3" s="17"/>
      <c r="M3" s="18"/>
      <c r="N3" s="17">
        <v>1551</v>
      </c>
      <c r="O3">
        <v>0.66900000000000004</v>
      </c>
      <c r="P3" s="1" t="s">
        <v>31</v>
      </c>
      <c r="Q3" s="1"/>
      <c r="R3" s="15">
        <v>119200</v>
      </c>
      <c r="S3" s="1"/>
      <c r="T3" s="1" t="s">
        <v>31</v>
      </c>
      <c r="U3" s="1"/>
    </row>
    <row r="4" spans="1:26" ht="17" x14ac:dyDescent="0.25">
      <c r="B4" s="1"/>
      <c r="C4" s="1"/>
      <c r="D4" s="1"/>
      <c r="E4" s="1"/>
      <c r="F4" s="1"/>
      <c r="G4" s="1"/>
      <c r="H4" s="17"/>
      <c r="I4" s="17"/>
      <c r="J4" s="17"/>
      <c r="K4" s="17"/>
      <c r="L4" s="17"/>
      <c r="M4" s="18"/>
      <c r="N4" s="17">
        <v>1601.0000000000002</v>
      </c>
      <c r="O4">
        <v>0.64300000000000002</v>
      </c>
      <c r="P4" s="1" t="s">
        <v>34</v>
      </c>
      <c r="Q4" s="1"/>
      <c r="R4" s="15">
        <v>123200</v>
      </c>
      <c r="S4" s="1"/>
      <c r="T4" s="1" t="s">
        <v>34</v>
      </c>
      <c r="U4" s="1"/>
    </row>
    <row r="5" spans="1:26" ht="17" x14ac:dyDescent="0.25">
      <c r="B5" s="1"/>
      <c r="C5" s="1"/>
      <c r="D5" s="1"/>
      <c r="E5" s="1"/>
      <c r="F5" s="1"/>
      <c r="G5" s="1"/>
      <c r="H5" s="17"/>
      <c r="I5" s="17"/>
      <c r="J5" s="17"/>
      <c r="K5" s="17"/>
      <c r="L5" s="17"/>
      <c r="M5" s="18"/>
      <c r="N5" s="17">
        <v>1651.0000000000002</v>
      </c>
      <c r="O5">
        <v>0.59399999999999997</v>
      </c>
      <c r="P5" s="1" t="s">
        <v>37</v>
      </c>
      <c r="Q5" s="1"/>
      <c r="R5" s="15">
        <v>128465</v>
      </c>
      <c r="S5" s="1"/>
      <c r="T5" s="1" t="s">
        <v>37</v>
      </c>
      <c r="U5" s="1"/>
    </row>
    <row r="6" spans="1:26" ht="17" x14ac:dyDescent="0.25">
      <c r="B6" s="1"/>
      <c r="C6" s="1"/>
      <c r="D6" s="1"/>
      <c r="E6" s="17"/>
      <c r="F6" s="17"/>
      <c r="G6" s="17"/>
      <c r="H6" s="17"/>
      <c r="I6" s="17"/>
      <c r="J6" s="17"/>
      <c r="K6" s="17"/>
      <c r="L6" s="17"/>
      <c r="M6" s="18"/>
      <c r="N6" s="17">
        <v>1701.0000000000002</v>
      </c>
      <c r="O6">
        <v>0.56999999999999995</v>
      </c>
      <c r="P6" s="1" t="s">
        <v>40</v>
      </c>
      <c r="Q6" s="1"/>
      <c r="R6" s="15">
        <v>134047</v>
      </c>
      <c r="S6" s="1"/>
      <c r="T6" s="1" t="s">
        <v>40</v>
      </c>
      <c r="U6" s="1"/>
    </row>
    <row r="7" spans="1:26" ht="17" x14ac:dyDescent="0.25">
      <c r="B7" s="1"/>
      <c r="C7" s="1"/>
      <c r="D7" s="1"/>
      <c r="E7" s="17"/>
      <c r="F7" s="17"/>
      <c r="G7" s="17"/>
      <c r="H7" s="17"/>
      <c r="I7" s="17"/>
      <c r="J7" s="17"/>
      <c r="K7" s="17"/>
      <c r="L7" s="17"/>
      <c r="M7" s="18"/>
      <c r="N7" s="17">
        <v>1751.0000000000002</v>
      </c>
      <c r="O7">
        <v>0.57099999999999995</v>
      </c>
      <c r="P7" s="1" t="s">
        <v>40</v>
      </c>
      <c r="Q7" s="1"/>
      <c r="R7" s="15">
        <v>139628</v>
      </c>
      <c r="S7" s="1"/>
      <c r="T7" s="1" t="s">
        <v>40</v>
      </c>
      <c r="U7" s="1"/>
    </row>
    <row r="8" spans="1:26" x14ac:dyDescent="0.2">
      <c r="B8" s="1"/>
      <c r="C8" s="1"/>
      <c r="D8" s="1"/>
      <c r="E8" s="17"/>
      <c r="F8" s="17"/>
      <c r="G8" s="17"/>
      <c r="H8" s="17"/>
      <c r="I8" s="17"/>
      <c r="J8" s="17"/>
      <c r="K8" s="17"/>
      <c r="L8" s="17"/>
      <c r="M8" s="17"/>
      <c r="N8" s="17"/>
      <c r="O8" s="17"/>
      <c r="P8" s="17"/>
      <c r="Q8" s="1"/>
      <c r="R8" s="1"/>
      <c r="S8" s="1"/>
      <c r="T8" s="1"/>
      <c r="U8" s="1"/>
    </row>
    <row r="9" spans="1:26" x14ac:dyDescent="0.2">
      <c r="B9" s="1"/>
      <c r="C9" s="1"/>
      <c r="D9" s="1"/>
      <c r="E9" s="17"/>
      <c r="F9" s="17"/>
      <c r="G9" s="17"/>
      <c r="H9" s="17"/>
      <c r="I9" s="17"/>
      <c r="J9" s="17"/>
      <c r="K9" s="17"/>
      <c r="L9" s="17"/>
      <c r="M9" s="17"/>
      <c r="N9" s="17"/>
      <c r="O9" s="17"/>
      <c r="P9" s="17"/>
      <c r="Q9" s="1"/>
      <c r="R9" s="1"/>
      <c r="S9" s="1"/>
      <c r="T9" s="1"/>
      <c r="U9" s="1"/>
    </row>
    <row r="10" spans="1:26" x14ac:dyDescent="0.2">
      <c r="B10" s="1"/>
      <c r="C10" s="1"/>
      <c r="D10" s="1"/>
      <c r="E10" s="17"/>
      <c r="F10" s="17"/>
      <c r="G10" s="17"/>
      <c r="H10" s="17"/>
      <c r="I10" s="17"/>
      <c r="J10" s="17"/>
      <c r="K10" s="17"/>
      <c r="L10" s="17"/>
      <c r="M10" s="17"/>
      <c r="N10" s="17"/>
      <c r="O10" s="17"/>
      <c r="P10" s="17"/>
      <c r="Q10" s="1"/>
      <c r="R10" s="1"/>
      <c r="S10" s="1"/>
      <c r="T10" s="1"/>
      <c r="U10" s="1"/>
    </row>
    <row r="11" spans="1:26" x14ac:dyDescent="0.2">
      <c r="B11" s="1"/>
      <c r="C11" s="1"/>
      <c r="D11" s="1"/>
      <c r="E11" s="17"/>
      <c r="F11" s="17"/>
      <c r="G11" s="17"/>
      <c r="H11" s="17"/>
      <c r="I11" s="17"/>
      <c r="J11" s="17"/>
      <c r="K11" s="17"/>
      <c r="L11" s="17"/>
      <c r="M11" s="17"/>
      <c r="N11" s="17"/>
      <c r="O11" s="17"/>
      <c r="P11" s="17"/>
      <c r="Q11" s="1"/>
      <c r="R11" s="1"/>
      <c r="S11" s="1"/>
      <c r="T11" s="1"/>
      <c r="U11" s="1"/>
    </row>
    <row r="12" spans="1:26" x14ac:dyDescent="0.2">
      <c r="B12" s="1"/>
      <c r="C12" s="1"/>
      <c r="D12" s="1"/>
      <c r="E12" s="17"/>
      <c r="F12" s="17"/>
      <c r="G12" s="17"/>
      <c r="H12" s="17"/>
      <c r="I12" s="17"/>
      <c r="J12" s="17"/>
      <c r="K12" s="17"/>
      <c r="L12" s="17"/>
      <c r="M12" s="17"/>
      <c r="N12" s="17"/>
      <c r="O12" s="17"/>
      <c r="P12" s="17"/>
      <c r="Q12" s="1"/>
      <c r="R12" s="1"/>
      <c r="S12" s="1"/>
      <c r="T12" s="1"/>
      <c r="U12" s="1"/>
    </row>
    <row r="13" spans="1:26" x14ac:dyDescent="0.2">
      <c r="B13" s="1"/>
      <c r="C13" s="1"/>
      <c r="D13" s="1"/>
      <c r="E13" s="17"/>
      <c r="F13" s="17"/>
      <c r="G13" s="17"/>
      <c r="H13" s="17"/>
      <c r="I13" s="17"/>
      <c r="J13" s="17"/>
      <c r="K13" s="17"/>
      <c r="L13" s="17"/>
      <c r="M13" s="17"/>
      <c r="N13" s="17"/>
      <c r="O13" s="17"/>
      <c r="P13" s="17"/>
      <c r="Q13" s="1"/>
      <c r="R13" s="1"/>
      <c r="S13" s="1"/>
      <c r="T13" s="1"/>
      <c r="U13" s="1"/>
    </row>
    <row r="14" spans="1:26" x14ac:dyDescent="0.2">
      <c r="B14" s="1"/>
      <c r="C14" s="1"/>
      <c r="D14" s="1"/>
      <c r="E14" s="17"/>
      <c r="F14" s="17"/>
      <c r="G14" s="17"/>
      <c r="H14" s="17"/>
      <c r="I14" s="17"/>
      <c r="J14" s="17"/>
      <c r="K14" s="17"/>
      <c r="L14" s="17"/>
      <c r="M14" s="17"/>
      <c r="N14" s="17"/>
      <c r="O14" s="17"/>
      <c r="P14" s="17"/>
      <c r="Q14" s="1"/>
      <c r="R14" s="1"/>
      <c r="S14" s="1"/>
      <c r="T14" s="1"/>
      <c r="U14" s="1"/>
    </row>
    <row r="15" spans="1:26" x14ac:dyDescent="0.2">
      <c r="B15" s="1"/>
      <c r="C15" s="1"/>
      <c r="D15" s="1"/>
      <c r="E15" s="17"/>
      <c r="F15" s="17"/>
      <c r="G15" s="17"/>
      <c r="H15" s="17"/>
      <c r="I15" s="17"/>
      <c r="J15" s="17"/>
      <c r="K15" s="17"/>
      <c r="L15" s="17"/>
      <c r="M15" s="17"/>
      <c r="N15" s="17"/>
      <c r="O15" s="17"/>
      <c r="P15" s="17"/>
      <c r="Q15" s="1"/>
      <c r="R15" s="1"/>
      <c r="S15" s="1"/>
      <c r="T15" s="1"/>
      <c r="U15" s="1"/>
    </row>
    <row r="16" spans="1:26" x14ac:dyDescent="0.2">
      <c r="B16" s="1"/>
      <c r="C16" s="1"/>
      <c r="D16" s="1"/>
      <c r="E16" s="17"/>
      <c r="F16" s="17"/>
      <c r="G16" s="17"/>
      <c r="H16" s="17"/>
      <c r="I16" s="17"/>
      <c r="J16" s="17"/>
      <c r="K16" s="17"/>
      <c r="L16" s="17"/>
      <c r="M16" s="17"/>
      <c r="N16" s="17"/>
      <c r="O16" s="17"/>
      <c r="P16" s="17"/>
      <c r="Q16" s="1"/>
      <c r="R16" s="1"/>
      <c r="S16" s="1"/>
      <c r="T16" s="1"/>
      <c r="U16" s="1"/>
    </row>
    <row r="17" spans="2:21" x14ac:dyDescent="0.2">
      <c r="B17" s="1"/>
      <c r="C17" s="1"/>
      <c r="D17" s="1"/>
      <c r="E17" s="17"/>
      <c r="F17" s="17"/>
      <c r="G17" s="17"/>
      <c r="H17" s="17"/>
      <c r="I17" s="17"/>
      <c r="J17" s="17"/>
      <c r="K17" s="17"/>
      <c r="L17" s="17"/>
      <c r="M17" s="17"/>
      <c r="N17" s="17"/>
      <c r="O17" s="17"/>
      <c r="P17" s="17"/>
      <c r="Q17" s="1"/>
      <c r="R17" s="1"/>
      <c r="S17" s="1"/>
      <c r="T17" s="1"/>
      <c r="U17" s="1"/>
    </row>
    <row r="18" spans="2:21" x14ac:dyDescent="0.2">
      <c r="B18" s="1"/>
      <c r="C18" s="1"/>
      <c r="D18" s="1"/>
      <c r="E18" s="17"/>
      <c r="F18" s="17"/>
      <c r="G18" s="17"/>
      <c r="H18" s="17"/>
      <c r="I18" s="17"/>
      <c r="J18" s="17"/>
      <c r="K18" s="17"/>
      <c r="L18" s="17"/>
      <c r="M18" s="17"/>
      <c r="N18" s="17"/>
      <c r="O18" s="17"/>
      <c r="P18" s="17"/>
      <c r="Q18" s="1"/>
      <c r="R18" s="1"/>
      <c r="S18" s="1"/>
      <c r="T18" s="1"/>
      <c r="U18" s="1"/>
    </row>
    <row r="19" spans="2:21" x14ac:dyDescent="0.2">
      <c r="B19" s="1"/>
      <c r="C19" s="1"/>
      <c r="D19" s="1"/>
      <c r="E19" s="17"/>
      <c r="F19" s="17"/>
      <c r="G19" s="17"/>
      <c r="H19" s="17"/>
      <c r="I19" s="17"/>
      <c r="J19" s="17"/>
      <c r="K19" s="17"/>
      <c r="L19" s="17"/>
      <c r="M19" s="17"/>
      <c r="N19" s="17"/>
      <c r="O19" s="17"/>
      <c r="P19" s="17"/>
      <c r="Q19" s="1"/>
      <c r="R19" s="1"/>
      <c r="S19" s="1"/>
      <c r="T19" s="1"/>
      <c r="U19" s="1"/>
    </row>
    <row r="20" spans="2:21" x14ac:dyDescent="0.2">
      <c r="B20" s="1"/>
      <c r="C20" s="1"/>
      <c r="D20" s="1"/>
      <c r="E20" s="17"/>
      <c r="F20" s="17"/>
      <c r="G20" s="17"/>
      <c r="H20" s="17"/>
      <c r="I20" s="17"/>
      <c r="J20" s="17"/>
      <c r="K20" s="17"/>
      <c r="L20" s="17"/>
      <c r="M20" s="17"/>
      <c r="N20" s="17"/>
      <c r="O20" s="17"/>
      <c r="P20" s="17"/>
      <c r="Q20" s="1"/>
      <c r="R20" s="1"/>
      <c r="S20" s="1"/>
      <c r="T20" s="1"/>
      <c r="U20" s="1"/>
    </row>
    <row r="21" spans="2:21" x14ac:dyDescent="0.2">
      <c r="B21" s="1"/>
      <c r="C21" s="1"/>
      <c r="D21" s="1"/>
      <c r="E21" s="17"/>
      <c r="F21" s="17"/>
      <c r="G21" s="17"/>
      <c r="H21" s="17"/>
      <c r="I21" s="17"/>
      <c r="J21" s="17"/>
      <c r="K21" s="17"/>
      <c r="L21" s="17"/>
      <c r="M21" s="17"/>
      <c r="N21" s="17"/>
      <c r="O21" s="17"/>
      <c r="P21" s="17"/>
      <c r="Q21" s="1"/>
      <c r="R21" s="1"/>
      <c r="S21" s="1"/>
      <c r="T21" s="1"/>
      <c r="U21" s="1"/>
    </row>
    <row r="22" spans="2:21" x14ac:dyDescent="0.2">
      <c r="B22" s="1"/>
      <c r="C22" s="1"/>
      <c r="D22" s="1"/>
      <c r="E22" s="17"/>
      <c r="F22" s="17"/>
      <c r="G22" s="17"/>
      <c r="H22" s="17"/>
      <c r="I22" s="17"/>
      <c r="J22" s="17"/>
      <c r="K22" s="17"/>
      <c r="L22" s="17"/>
      <c r="M22" s="17"/>
      <c r="N22" s="17"/>
      <c r="O22" s="17"/>
      <c r="P22" s="17"/>
      <c r="Q22" s="1"/>
      <c r="R22" s="1"/>
      <c r="S22" s="1"/>
      <c r="T22" s="1"/>
      <c r="U22" s="1"/>
    </row>
    <row r="23" spans="2:21" x14ac:dyDescent="0.2">
      <c r="B23" s="1"/>
      <c r="C23" s="1"/>
      <c r="D23" s="1"/>
      <c r="E23" s="17"/>
      <c r="F23" s="17"/>
      <c r="G23" s="17"/>
      <c r="H23" s="17"/>
      <c r="I23" s="17"/>
      <c r="J23" s="17"/>
      <c r="K23" s="17"/>
      <c r="L23" s="17"/>
      <c r="M23" s="17"/>
      <c r="N23" s="17"/>
      <c r="O23" s="17"/>
      <c r="P23" s="17"/>
      <c r="Q23" s="1"/>
      <c r="R23" s="1"/>
      <c r="S23" s="1"/>
      <c r="T23" s="1"/>
      <c r="U23" s="1"/>
    </row>
    <row r="24" spans="2:21" x14ac:dyDescent="0.2">
      <c r="B24" s="1"/>
      <c r="C24" s="1"/>
      <c r="D24" s="1"/>
      <c r="E24" s="17"/>
      <c r="F24" s="17"/>
      <c r="G24" s="17"/>
      <c r="H24" s="17"/>
      <c r="I24" s="17"/>
      <c r="J24" s="17"/>
      <c r="K24" s="17"/>
      <c r="L24" s="17"/>
      <c r="M24" s="17"/>
      <c r="N24" s="17"/>
      <c r="O24" s="17"/>
      <c r="P24" s="17"/>
      <c r="Q24" s="1"/>
      <c r="R24" s="1"/>
      <c r="S24" s="1"/>
      <c r="T24" s="1"/>
      <c r="U24" s="1"/>
    </row>
    <row r="25" spans="2:21" x14ac:dyDescent="0.2">
      <c r="B25" s="1"/>
      <c r="C25" s="1"/>
      <c r="D25" s="1"/>
      <c r="E25" s="17"/>
      <c r="F25" s="17"/>
      <c r="G25" s="17"/>
      <c r="H25" s="17"/>
      <c r="I25" s="17"/>
      <c r="J25" s="17"/>
      <c r="K25" s="17"/>
      <c r="L25" s="17"/>
      <c r="M25" s="17"/>
      <c r="N25" s="17"/>
      <c r="O25" s="17"/>
      <c r="P25" s="17"/>
      <c r="Q25" s="1"/>
      <c r="R25" s="1"/>
      <c r="S25" s="1"/>
      <c r="T25" s="1"/>
      <c r="U25" s="1"/>
    </row>
    <row r="26" spans="2:21" x14ac:dyDescent="0.2">
      <c r="B26" s="1"/>
      <c r="C26" s="1"/>
      <c r="D26" s="1"/>
      <c r="E26" s="17"/>
      <c r="F26" s="17"/>
      <c r="G26" s="17"/>
      <c r="H26" s="17"/>
      <c r="I26" s="17"/>
      <c r="J26" s="17"/>
      <c r="K26" s="17"/>
      <c r="L26" s="17"/>
      <c r="M26" s="17"/>
      <c r="N26" s="17"/>
      <c r="O26" s="17"/>
      <c r="P26" s="17"/>
      <c r="Q26" s="1"/>
      <c r="R26" s="1"/>
      <c r="S26" s="1"/>
      <c r="T26" s="1"/>
      <c r="U26" s="1"/>
    </row>
    <row r="27" spans="2:21" x14ac:dyDescent="0.2">
      <c r="B27" s="1"/>
      <c r="C27" s="1"/>
      <c r="D27" s="1"/>
      <c r="E27" s="17"/>
      <c r="F27" s="17"/>
      <c r="G27" s="17"/>
      <c r="H27" s="17"/>
      <c r="I27" s="17"/>
      <c r="J27" s="17"/>
      <c r="K27" s="17"/>
      <c r="L27" s="17"/>
      <c r="M27" s="17"/>
      <c r="N27" s="17"/>
      <c r="O27" s="17"/>
      <c r="P27" s="17"/>
      <c r="Q27" s="1"/>
      <c r="R27" s="1"/>
      <c r="S27" s="1"/>
      <c r="T27" s="1"/>
      <c r="U27" s="1"/>
    </row>
    <row r="28" spans="2:21" x14ac:dyDescent="0.2">
      <c r="B28" s="1"/>
      <c r="C28" s="1"/>
      <c r="D28" s="1"/>
      <c r="E28" s="17"/>
      <c r="F28" s="17"/>
      <c r="G28" s="17"/>
      <c r="H28" s="17"/>
      <c r="I28" s="17"/>
      <c r="J28" s="17"/>
      <c r="K28" s="17"/>
      <c r="L28" s="17"/>
      <c r="M28" s="17"/>
      <c r="N28" s="17"/>
      <c r="O28" s="17"/>
      <c r="P28" s="17"/>
      <c r="Q28" s="1"/>
      <c r="R28" s="1"/>
      <c r="S28" s="1"/>
      <c r="T28" s="1"/>
      <c r="U28" s="1"/>
    </row>
    <row r="29" spans="2:21" x14ac:dyDescent="0.2">
      <c r="B29" s="1"/>
      <c r="C29" s="1"/>
      <c r="D29" s="1"/>
      <c r="E29" s="17"/>
      <c r="F29" s="17"/>
      <c r="G29" s="17"/>
      <c r="H29" s="17"/>
      <c r="I29" s="17"/>
      <c r="J29" s="17"/>
      <c r="K29" s="17"/>
      <c r="L29" s="17"/>
      <c r="M29" s="17"/>
      <c r="N29" s="17"/>
      <c r="O29" s="17"/>
      <c r="P29" s="17"/>
      <c r="Q29" s="1"/>
      <c r="R29" s="1"/>
      <c r="S29" s="1"/>
      <c r="T29" s="1"/>
      <c r="U29" s="1"/>
    </row>
    <row r="30" spans="2:21" x14ac:dyDescent="0.2">
      <c r="B30" s="1"/>
      <c r="C30" s="1"/>
      <c r="D30" s="1"/>
      <c r="E30" s="17"/>
      <c r="F30" s="17"/>
      <c r="G30" s="17"/>
      <c r="H30" s="17"/>
      <c r="I30" s="17"/>
      <c r="J30" s="17"/>
      <c r="K30" s="17"/>
      <c r="L30" s="17"/>
      <c r="M30" s="17"/>
      <c r="N30" s="17"/>
      <c r="O30" s="17"/>
      <c r="P30" s="17"/>
      <c r="Q30" s="1"/>
      <c r="R30" s="1"/>
      <c r="S30" s="1"/>
      <c r="T30" s="1"/>
      <c r="U30" s="1"/>
    </row>
    <row r="31" spans="2:21" x14ac:dyDescent="0.2">
      <c r="B31" s="1"/>
      <c r="C31" s="1"/>
      <c r="D31" s="1"/>
      <c r="E31" s="17"/>
      <c r="F31" s="17"/>
      <c r="G31" s="17"/>
      <c r="H31" s="17"/>
      <c r="I31" s="17"/>
      <c r="J31" s="17"/>
      <c r="K31" s="17"/>
      <c r="L31" s="17"/>
      <c r="M31" s="17"/>
      <c r="N31" s="17"/>
      <c r="O31" s="17"/>
      <c r="P31" s="17"/>
      <c r="Q31" s="1"/>
      <c r="R31" s="1"/>
      <c r="S31" s="1"/>
      <c r="T31" s="1"/>
      <c r="U31" s="1"/>
    </row>
    <row r="32" spans="2:21" x14ac:dyDescent="0.2">
      <c r="B32" s="1"/>
      <c r="C32" s="1"/>
      <c r="D32" s="1"/>
      <c r="E32" s="17"/>
      <c r="F32" s="17"/>
      <c r="G32" s="17"/>
      <c r="H32" s="17"/>
      <c r="I32" s="17"/>
      <c r="J32" s="17"/>
      <c r="K32" s="17"/>
      <c r="L32" s="17"/>
      <c r="M32" s="17"/>
      <c r="N32" s="17"/>
      <c r="O32" s="17"/>
      <c r="P32" s="17"/>
      <c r="Q32" s="1"/>
      <c r="R32" s="1"/>
      <c r="S32" s="1"/>
      <c r="T32" s="1"/>
      <c r="U32" s="1"/>
    </row>
    <row r="33" spans="2:21" x14ac:dyDescent="0.2">
      <c r="B33" s="1"/>
      <c r="C33" s="1"/>
      <c r="D33" s="1"/>
      <c r="E33" s="17"/>
      <c r="F33" s="17"/>
      <c r="G33" s="17"/>
      <c r="H33" s="17"/>
      <c r="I33" s="17"/>
      <c r="J33" s="17"/>
      <c r="K33" s="17"/>
      <c r="L33" s="17"/>
      <c r="M33" s="17"/>
      <c r="N33" s="17"/>
      <c r="O33" s="17"/>
      <c r="P33" s="17"/>
      <c r="Q33" s="1"/>
      <c r="R33" s="1"/>
      <c r="S33" s="1"/>
      <c r="T33" s="1"/>
      <c r="U33" s="1"/>
    </row>
    <row r="34" spans="2:21" x14ac:dyDescent="0.2">
      <c r="B34" s="1"/>
      <c r="C34" s="1"/>
      <c r="D34" s="1"/>
      <c r="E34" s="17"/>
      <c r="F34" s="17"/>
      <c r="G34" s="17"/>
      <c r="H34" s="17"/>
      <c r="I34" s="17"/>
      <c r="J34" s="17"/>
      <c r="K34" s="17"/>
      <c r="L34" s="17"/>
      <c r="M34" s="17"/>
      <c r="N34" s="17"/>
      <c r="O34" s="17"/>
      <c r="P34" s="17"/>
      <c r="Q34" s="1"/>
      <c r="R34" s="1"/>
      <c r="S34" s="1"/>
      <c r="T34" s="1"/>
      <c r="U34" s="1"/>
    </row>
    <row r="35" spans="2:21" x14ac:dyDescent="0.2">
      <c r="B35" s="1"/>
      <c r="C35" s="1"/>
      <c r="D35" s="1"/>
      <c r="E35" s="17"/>
      <c r="F35" s="17"/>
      <c r="G35" s="17"/>
      <c r="H35" s="17"/>
      <c r="I35" s="17"/>
      <c r="J35" s="17"/>
      <c r="K35" s="17"/>
      <c r="L35" s="17"/>
      <c r="M35" s="17"/>
      <c r="N35" s="17"/>
      <c r="O35" s="17"/>
      <c r="P35" s="17"/>
      <c r="Q35" s="1"/>
      <c r="R35" s="1"/>
      <c r="S35" s="1"/>
      <c r="T35" s="1"/>
      <c r="U35" s="1"/>
    </row>
    <row r="36" spans="2:21" x14ac:dyDescent="0.2">
      <c r="B36" s="1"/>
      <c r="C36" s="1"/>
      <c r="D36" s="1"/>
      <c r="E36" s="17"/>
      <c r="F36" s="17"/>
      <c r="G36" s="17"/>
      <c r="H36" s="17"/>
      <c r="I36" s="17"/>
      <c r="J36" s="17"/>
      <c r="K36" s="17"/>
      <c r="L36" s="17"/>
      <c r="M36" s="17"/>
      <c r="N36" s="17"/>
      <c r="O36" s="17"/>
      <c r="P36" s="17"/>
      <c r="Q36" s="1"/>
      <c r="R36" s="1"/>
      <c r="S36" s="1"/>
      <c r="T36" s="1"/>
      <c r="U36" s="1"/>
    </row>
    <row r="37" spans="2:21" x14ac:dyDescent="0.2">
      <c r="B37" s="1"/>
      <c r="C37" s="1"/>
      <c r="D37" s="1"/>
      <c r="E37" s="17"/>
      <c r="F37" s="17"/>
      <c r="G37" s="17"/>
      <c r="H37" s="17"/>
      <c r="I37" s="17"/>
      <c r="J37" s="17"/>
      <c r="K37" s="17"/>
      <c r="L37" s="17"/>
      <c r="M37" s="17"/>
      <c r="N37" s="17"/>
      <c r="O37" s="17"/>
      <c r="P37" s="17"/>
      <c r="Q37" s="1"/>
      <c r="R37" s="1"/>
      <c r="S37" s="1"/>
      <c r="T37" s="1"/>
      <c r="U37" s="1"/>
    </row>
    <row r="38" spans="2:21" x14ac:dyDescent="0.2">
      <c r="B38" s="1"/>
      <c r="C38" s="1"/>
      <c r="D38" s="1"/>
      <c r="E38" s="17"/>
      <c r="F38" s="17"/>
      <c r="G38" s="17"/>
      <c r="H38" s="17"/>
      <c r="I38" s="17"/>
      <c r="J38" s="17"/>
      <c r="K38" s="17"/>
      <c r="L38" s="17"/>
      <c r="M38" s="17"/>
      <c r="N38" s="17"/>
      <c r="O38" s="17"/>
      <c r="P38" s="17"/>
      <c r="Q38" s="1"/>
      <c r="R38" s="1"/>
      <c r="S38" s="1"/>
      <c r="T38" s="1"/>
      <c r="U38" s="1"/>
    </row>
    <row r="39" spans="2:21" x14ac:dyDescent="0.2">
      <c r="B39" s="1"/>
      <c r="C39" s="1"/>
      <c r="D39" s="1"/>
      <c r="E39" s="17"/>
      <c r="F39" s="17"/>
      <c r="G39" s="17"/>
      <c r="H39" s="17"/>
      <c r="I39" s="17"/>
      <c r="J39" s="17"/>
      <c r="K39" s="17"/>
      <c r="L39" s="17"/>
      <c r="M39" s="17"/>
      <c r="N39" s="17"/>
      <c r="O39" s="17"/>
      <c r="P39" s="17"/>
      <c r="Q39" s="1"/>
      <c r="R39" s="1"/>
      <c r="S39" s="1"/>
      <c r="T39" s="1"/>
      <c r="U39" s="1"/>
    </row>
    <row r="40" spans="2:21" x14ac:dyDescent="0.2">
      <c r="B40" s="1"/>
      <c r="C40" s="1"/>
      <c r="D40" s="1"/>
      <c r="E40" s="17"/>
      <c r="F40" s="17"/>
      <c r="G40" s="17"/>
      <c r="H40" s="17"/>
      <c r="I40" s="17"/>
      <c r="J40" s="17"/>
      <c r="K40" s="17"/>
      <c r="L40" s="17"/>
      <c r="M40" s="17"/>
      <c r="N40" s="17"/>
      <c r="O40" s="17"/>
      <c r="P40" s="17"/>
      <c r="Q40" s="1"/>
      <c r="R40" s="1"/>
      <c r="S40" s="1"/>
      <c r="T40" s="1"/>
      <c r="U40" s="1"/>
    </row>
    <row r="41" spans="2:21" x14ac:dyDescent="0.2">
      <c r="B41" s="1"/>
      <c r="C41" s="1"/>
      <c r="D41" s="1"/>
      <c r="E41" s="17"/>
      <c r="F41" s="17"/>
      <c r="G41" s="17"/>
      <c r="H41" s="17"/>
      <c r="I41" s="17"/>
      <c r="J41" s="17"/>
      <c r="K41" s="17"/>
      <c r="L41" s="17"/>
      <c r="M41" s="17"/>
      <c r="N41" s="17"/>
      <c r="O41" s="17"/>
      <c r="P41" s="17"/>
      <c r="Q41" s="1"/>
      <c r="R41" s="1"/>
      <c r="S41" s="1"/>
      <c r="T41" s="1"/>
      <c r="U41" s="1"/>
    </row>
    <row r="42" spans="2:21" x14ac:dyDescent="0.2">
      <c r="B42" s="1"/>
      <c r="C42" s="1"/>
      <c r="D42" s="1"/>
      <c r="E42" s="17"/>
      <c r="F42" s="17"/>
      <c r="G42" s="17"/>
      <c r="H42" s="17"/>
      <c r="I42" s="17"/>
      <c r="J42" s="17"/>
      <c r="K42" s="17"/>
      <c r="L42" s="17"/>
      <c r="M42" s="17"/>
      <c r="N42" s="17"/>
      <c r="O42" s="17"/>
      <c r="P42" s="17"/>
      <c r="Q42" s="1"/>
      <c r="R42" s="1"/>
      <c r="S42" s="1"/>
      <c r="T42" s="1"/>
      <c r="U42" s="1"/>
    </row>
    <row r="43" spans="2:21" x14ac:dyDescent="0.2">
      <c r="B43" s="1"/>
      <c r="C43" s="1"/>
      <c r="D43" s="1"/>
      <c r="E43" s="17"/>
      <c r="F43" s="17"/>
      <c r="G43" s="17"/>
      <c r="H43" s="17"/>
      <c r="I43" s="17"/>
      <c r="J43" s="17"/>
      <c r="K43" s="17"/>
      <c r="L43" s="17"/>
      <c r="M43" s="17"/>
      <c r="N43" s="17"/>
      <c r="O43" s="17"/>
      <c r="P43" s="17"/>
      <c r="Q43" s="1"/>
      <c r="R43" s="1"/>
      <c r="S43" s="1"/>
      <c r="T43" s="1"/>
      <c r="U43" s="1"/>
    </row>
    <row r="44" spans="2:21" x14ac:dyDescent="0.2">
      <c r="B44" s="1"/>
      <c r="C44" s="1"/>
      <c r="D44" s="1"/>
      <c r="E44" s="17"/>
      <c r="F44" s="17"/>
      <c r="G44" s="17"/>
      <c r="H44" s="17"/>
      <c r="I44" s="17"/>
      <c r="J44" s="17"/>
      <c r="K44" s="17"/>
      <c r="L44" s="17"/>
      <c r="M44" s="17"/>
      <c r="N44" s="17"/>
      <c r="O44" s="17"/>
      <c r="P44" s="17"/>
      <c r="Q44" s="1"/>
      <c r="R44" s="1"/>
      <c r="S44" s="1"/>
      <c r="T44" s="1"/>
      <c r="U44" s="1"/>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honeticPr fontId="6" type="noConversion"/>
  <hyperlinks>
    <hyperlink ref="W2" r:id="rId1" xr:uid="{1BDDF256-6266-1445-B1F4-A179A5F8E58E}"/>
  </hyperlinks>
  <pageMargins left="0.75" right="0.75" top="1" bottom="1" header="0.5" footer="0.5"/>
  <pageSetup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7E5759-7374-9B47-83EA-2FEB9C9DBD42}">
  <sheetPr>
    <tabColor rgb="FF0000FF"/>
  </sheetPr>
  <dimension ref="A1:AB200"/>
  <sheetViews>
    <sheetView topLeftCell="W1" zoomScale="98" workbookViewId="0">
      <selection activeCell="AA13" sqref="AA1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50</v>
      </c>
      <c r="AA1" s="8" t="s">
        <v>48</v>
      </c>
      <c r="AB1" s="8" t="s">
        <v>55</v>
      </c>
    </row>
    <row r="2" spans="1:28" ht="17" x14ac:dyDescent="0.25">
      <c r="A2" s="9" t="s">
        <v>25</v>
      </c>
      <c r="B2" s="12">
        <v>116.566</v>
      </c>
      <c r="C2" s="12">
        <v>18.835999999999999</v>
      </c>
      <c r="D2" s="10" t="s">
        <v>11</v>
      </c>
      <c r="E2" s="6"/>
      <c r="F2" s="6"/>
      <c r="G2" s="6"/>
      <c r="M2" s="14"/>
      <c r="N2" s="11">
        <v>1499</v>
      </c>
      <c r="O2" s="11" t="s">
        <v>26</v>
      </c>
      <c r="P2" s="6" t="s">
        <v>27</v>
      </c>
      <c r="R2" s="19">
        <v>115040</v>
      </c>
      <c r="T2" s="6" t="s">
        <v>27</v>
      </c>
      <c r="V2" s="6" t="s">
        <v>46</v>
      </c>
      <c r="W2" s="13" t="s">
        <v>44</v>
      </c>
      <c r="Y2" s="6" t="s">
        <v>49</v>
      </c>
      <c r="AB2">
        <v>-3296</v>
      </c>
    </row>
    <row r="3" spans="1:28" ht="17" x14ac:dyDescent="0.25">
      <c r="E3" s="6"/>
      <c r="F3" s="6"/>
      <c r="G3" s="6"/>
      <c r="M3" s="14"/>
      <c r="N3" s="11">
        <v>1551</v>
      </c>
      <c r="O3" s="11" t="s">
        <v>29</v>
      </c>
      <c r="P3" s="6" t="s">
        <v>30</v>
      </c>
      <c r="R3" s="15">
        <v>119200</v>
      </c>
      <c r="T3" s="6" t="s">
        <v>30</v>
      </c>
    </row>
    <row r="4" spans="1:28" ht="17" x14ac:dyDescent="0.25">
      <c r="E4" s="6"/>
      <c r="F4" s="6"/>
      <c r="G4" s="6"/>
      <c r="M4" s="14"/>
      <c r="N4" s="11">
        <v>1601.0000000000002</v>
      </c>
      <c r="O4" s="11" t="s">
        <v>32</v>
      </c>
      <c r="P4" s="6" t="s">
        <v>33</v>
      </c>
      <c r="R4" s="15">
        <v>123200</v>
      </c>
      <c r="T4" s="6" t="s">
        <v>33</v>
      </c>
    </row>
    <row r="5" spans="1:28" ht="17" x14ac:dyDescent="0.25">
      <c r="E5" s="6"/>
      <c r="F5" s="6"/>
      <c r="G5" s="6"/>
      <c r="M5" s="14"/>
      <c r="N5" s="11">
        <v>1651.0000000000002</v>
      </c>
      <c r="O5" s="11" t="s">
        <v>35</v>
      </c>
      <c r="P5" s="6" t="s">
        <v>36</v>
      </c>
      <c r="R5" s="15">
        <v>128465</v>
      </c>
      <c r="T5" s="6" t="s">
        <v>36</v>
      </c>
    </row>
    <row r="6" spans="1:28" ht="17" x14ac:dyDescent="0.25">
      <c r="M6" s="14"/>
      <c r="N6" s="11">
        <v>1701.0000000000002</v>
      </c>
      <c r="O6" s="11" t="s">
        <v>38</v>
      </c>
      <c r="P6" s="6" t="s">
        <v>39</v>
      </c>
      <c r="R6" s="15">
        <v>134047</v>
      </c>
      <c r="T6" s="6" t="s">
        <v>39</v>
      </c>
    </row>
    <row r="7" spans="1:28" ht="17" x14ac:dyDescent="0.25">
      <c r="M7" s="14"/>
      <c r="N7" s="11">
        <v>1751.0000000000002</v>
      </c>
      <c r="O7" s="11" t="s">
        <v>41</v>
      </c>
      <c r="P7" s="6" t="s">
        <v>42</v>
      </c>
      <c r="R7" s="15">
        <v>139628</v>
      </c>
      <c r="T7" s="6" t="s">
        <v>42</v>
      </c>
    </row>
    <row r="9" spans="1:28" x14ac:dyDescent="0.2">
      <c r="O9" s="6"/>
      <c r="P9" s="6"/>
    </row>
    <row r="10" spans="1:28" x14ac:dyDescent="0.2">
      <c r="O10" s="6"/>
      <c r="P10" s="6"/>
    </row>
    <row r="11" spans="1:28" x14ac:dyDescent="0.2">
      <c r="O11" s="6"/>
      <c r="P11" s="6"/>
    </row>
    <row r="12" spans="1:28" x14ac:dyDescent="0.2">
      <c r="O12" s="6"/>
      <c r="P12" s="6"/>
    </row>
    <row r="13" spans="1:28" x14ac:dyDescent="0.2">
      <c r="O13" s="6"/>
      <c r="P13" s="6"/>
    </row>
    <row r="14" spans="1:28" x14ac:dyDescent="0.2">
      <c r="O14" s="6"/>
      <c r="P14" s="6"/>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727C008A-F961-944C-BE20-A5830F2A06AC}"/>
  </hyperlinks>
  <pageMargins left="0.75" right="0.75" top="1" bottom="1" header="0.5" footer="0.5"/>
  <pageSetup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F099-09F6-D548-B13B-2F1524EEADA8}">
  <sheetPr>
    <tabColor rgb="FF0000FF"/>
  </sheetPr>
  <dimension ref="A1:Z200"/>
  <sheetViews>
    <sheetView zoomScale="75" workbookViewId="0">
      <selection activeCell="Z1" sqref="V1:Z1"/>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ht="17" x14ac:dyDescent="0.25">
      <c r="A2" s="9" t="s">
        <v>51</v>
      </c>
      <c r="B2" s="12">
        <v>85.733000000000004</v>
      </c>
      <c r="C2" s="12">
        <v>19.082999999999998</v>
      </c>
      <c r="D2" s="10" t="s">
        <v>20</v>
      </c>
      <c r="E2" s="6"/>
      <c r="F2" s="6"/>
      <c r="G2" s="6"/>
      <c r="M2" s="14"/>
      <c r="N2">
        <v>29.032</v>
      </c>
      <c r="O2">
        <v>4.75</v>
      </c>
      <c r="P2">
        <v>28.23</v>
      </c>
      <c r="R2" s="20">
        <v>116140</v>
      </c>
      <c r="T2">
        <v>28.23</v>
      </c>
      <c r="V2" s="6" t="s">
        <v>52</v>
      </c>
      <c r="W2" s="13" t="s">
        <v>53</v>
      </c>
      <c r="Y2" s="6" t="s">
        <v>54</v>
      </c>
      <c r="Z2">
        <v>-1440</v>
      </c>
    </row>
    <row r="3" spans="1:26" ht="17" x14ac:dyDescent="0.25">
      <c r="E3" s="6"/>
      <c r="F3" s="6"/>
      <c r="G3" s="6"/>
      <c r="M3" s="14"/>
      <c r="N3">
        <v>29.332000000000001</v>
      </c>
      <c r="O3">
        <v>4.58</v>
      </c>
      <c r="P3">
        <v>28.3</v>
      </c>
      <c r="R3" s="20">
        <v>117310</v>
      </c>
      <c r="T3">
        <v>28.3</v>
      </c>
    </row>
    <row r="4" spans="1:26" ht="17" x14ac:dyDescent="0.25">
      <c r="E4" s="6"/>
      <c r="F4" s="6"/>
      <c r="G4" s="6"/>
      <c r="M4" s="14"/>
      <c r="N4">
        <v>29.632000000000001</v>
      </c>
      <c r="O4">
        <v>4.55</v>
      </c>
      <c r="P4">
        <v>28.56</v>
      </c>
      <c r="R4" s="20">
        <v>118480</v>
      </c>
      <c r="T4">
        <v>28.56</v>
      </c>
    </row>
    <row r="5" spans="1:26" ht="17" x14ac:dyDescent="0.25">
      <c r="E5" s="6"/>
      <c r="F5" s="6"/>
      <c r="G5" s="6"/>
      <c r="M5" s="14"/>
      <c r="N5">
        <v>29.931999999999999</v>
      </c>
      <c r="O5">
        <v>4.6100000000000003</v>
      </c>
      <c r="P5">
        <v>28.9</v>
      </c>
      <c r="R5" s="20">
        <v>119650</v>
      </c>
      <c r="T5">
        <v>28.9</v>
      </c>
    </row>
    <row r="6" spans="1:26" ht="17" x14ac:dyDescent="0.25">
      <c r="M6" s="14"/>
      <c r="N6">
        <v>30.202000000000002</v>
      </c>
      <c r="O6">
        <v>4.68</v>
      </c>
      <c r="P6">
        <v>29.08</v>
      </c>
      <c r="R6" s="20">
        <v>120700</v>
      </c>
      <c r="T6">
        <v>29.08</v>
      </c>
    </row>
    <row r="7" spans="1:26" ht="17" x14ac:dyDescent="0.25">
      <c r="M7" s="14"/>
      <c r="N7">
        <v>30.552</v>
      </c>
      <c r="O7">
        <v>4.7300000000000004</v>
      </c>
      <c r="P7">
        <v>28.74</v>
      </c>
      <c r="R7" s="20">
        <v>122060</v>
      </c>
      <c r="T7">
        <v>28.74</v>
      </c>
    </row>
    <row r="8" spans="1:26" x14ac:dyDescent="0.2">
      <c r="N8">
        <v>30.852</v>
      </c>
      <c r="O8">
        <v>4.45</v>
      </c>
      <c r="P8">
        <v>28.89</v>
      </c>
      <c r="R8" s="20">
        <v>123230</v>
      </c>
      <c r="T8">
        <v>28.89</v>
      </c>
    </row>
    <row r="9" spans="1:26" x14ac:dyDescent="0.2">
      <c r="N9">
        <v>31.152000000000001</v>
      </c>
      <c r="O9">
        <v>4.55</v>
      </c>
      <c r="P9">
        <v>26.75</v>
      </c>
      <c r="R9" s="20">
        <v>124390</v>
      </c>
      <c r="T9">
        <v>26.75</v>
      </c>
    </row>
    <row r="10" spans="1:26" x14ac:dyDescent="0.2">
      <c r="N10">
        <v>32.326999999999998</v>
      </c>
      <c r="O10">
        <v>4.47</v>
      </c>
      <c r="P10">
        <v>26.34</v>
      </c>
      <c r="R10" s="20">
        <v>128970</v>
      </c>
      <c r="T10">
        <v>26.34</v>
      </c>
    </row>
    <row r="11" spans="1:26" x14ac:dyDescent="0.2">
      <c r="N11">
        <v>32.627000000000002</v>
      </c>
      <c r="O11">
        <v>4.22</v>
      </c>
      <c r="P11">
        <v>26.29</v>
      </c>
      <c r="R11" s="20">
        <v>131720</v>
      </c>
      <c r="T11">
        <v>26.29</v>
      </c>
    </row>
    <row r="12" spans="1:26" x14ac:dyDescent="0.2">
      <c r="N12">
        <v>32.927</v>
      </c>
      <c r="O12">
        <v>4.04</v>
      </c>
      <c r="P12">
        <v>25.99</v>
      </c>
      <c r="R12" s="20">
        <v>134460</v>
      </c>
      <c r="T12">
        <v>25.99</v>
      </c>
    </row>
    <row r="13" spans="1:26" x14ac:dyDescent="0.2">
      <c r="N13">
        <v>33.237000000000002</v>
      </c>
      <c r="O13">
        <v>4.04</v>
      </c>
      <c r="P13">
        <v>26.05</v>
      </c>
      <c r="R13" s="20">
        <v>137300</v>
      </c>
      <c r="T13">
        <v>26.05</v>
      </c>
    </row>
    <row r="14" spans="1:26" x14ac:dyDescent="0.2">
      <c r="N14">
        <v>33.536999999999999</v>
      </c>
      <c r="O14">
        <v>3.83</v>
      </c>
      <c r="P14">
        <v>26.08</v>
      </c>
      <c r="R14" s="20">
        <v>140050</v>
      </c>
      <c r="T14">
        <v>26.08</v>
      </c>
    </row>
    <row r="15" spans="1:26" x14ac:dyDescent="0.2">
      <c r="R15" s="20"/>
    </row>
    <row r="16" spans="1:26" x14ac:dyDescent="0.2">
      <c r="R16" s="20"/>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7C891123-1A15-C14F-AE3D-43B667C469E3}"/>
  </hyperlinks>
  <pageMargins left="0.75" right="0.75" top="1" bottom="1" header="0.5" footer="0.5"/>
  <pageSetup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64AD9-04A4-0B47-B062-E894C3B17EEF}">
  <sheetPr>
    <tabColor rgb="FF0000FF"/>
  </sheetPr>
  <dimension ref="A1:Z200"/>
  <sheetViews>
    <sheetView zoomScale="75" workbookViewId="0">
      <selection activeCell="O16" sqref="O16"/>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t="s">
        <v>57</v>
      </c>
      <c r="B2" s="12">
        <v>-57.575980000000001</v>
      </c>
      <c r="C2" s="12">
        <v>33.6907</v>
      </c>
      <c r="D2" s="10" t="s">
        <v>11</v>
      </c>
      <c r="E2" s="6"/>
      <c r="F2" s="6"/>
      <c r="G2" s="6"/>
      <c r="L2" s="21">
        <v>3292</v>
      </c>
      <c r="M2">
        <v>3.14</v>
      </c>
      <c r="N2"/>
      <c r="O2"/>
      <c r="P2"/>
      <c r="R2">
        <v>115060</v>
      </c>
      <c r="T2">
        <v>21.05</v>
      </c>
      <c r="V2" s="6" t="s">
        <v>59</v>
      </c>
      <c r="W2" s="13" t="s">
        <v>58</v>
      </c>
      <c r="X2" s="6" t="s">
        <v>56</v>
      </c>
      <c r="Z2">
        <v>-4541</v>
      </c>
    </row>
    <row r="3" spans="1:26" x14ac:dyDescent="0.2">
      <c r="E3" s="6"/>
      <c r="F3" s="6"/>
      <c r="G3" s="6"/>
      <c r="L3" s="21">
        <v>3296</v>
      </c>
      <c r="M3">
        <v>3.04</v>
      </c>
      <c r="N3"/>
      <c r="O3"/>
      <c r="P3"/>
      <c r="R3">
        <v>115150</v>
      </c>
      <c r="T3">
        <v>20.62</v>
      </c>
    </row>
    <row r="4" spans="1:26" x14ac:dyDescent="0.2">
      <c r="E4" s="6"/>
      <c r="F4" s="6"/>
      <c r="G4" s="6"/>
      <c r="L4" s="21">
        <v>3324</v>
      </c>
      <c r="M4">
        <v>2.97</v>
      </c>
      <c r="N4"/>
      <c r="O4"/>
      <c r="P4"/>
      <c r="R4">
        <v>115230</v>
      </c>
      <c r="T4">
        <v>20.58</v>
      </c>
    </row>
    <row r="5" spans="1:26" x14ac:dyDescent="0.2">
      <c r="E5" s="6"/>
      <c r="F5" s="6"/>
      <c r="G5" s="6"/>
      <c r="L5" s="21">
        <v>3328</v>
      </c>
      <c r="M5">
        <v>2.61</v>
      </c>
      <c r="N5"/>
      <c r="O5"/>
      <c r="P5"/>
      <c r="R5">
        <v>115310</v>
      </c>
      <c r="T5">
        <v>21.07</v>
      </c>
    </row>
    <row r="6" spans="1:26" x14ac:dyDescent="0.2">
      <c r="L6" s="21">
        <v>3332</v>
      </c>
      <c r="M6">
        <v>2.64</v>
      </c>
      <c r="N6"/>
      <c r="O6"/>
      <c r="P6"/>
      <c r="R6">
        <v>115390</v>
      </c>
      <c r="T6">
        <v>20.72</v>
      </c>
    </row>
    <row r="7" spans="1:26" x14ac:dyDescent="0.2">
      <c r="L7" s="21">
        <v>3336</v>
      </c>
      <c r="M7">
        <v>2.5099999999999998</v>
      </c>
      <c r="N7"/>
      <c r="O7"/>
      <c r="P7"/>
      <c r="R7">
        <v>115460</v>
      </c>
      <c r="T7">
        <v>21.36</v>
      </c>
    </row>
    <row r="8" spans="1:26" x14ac:dyDescent="0.2">
      <c r="L8" s="21">
        <v>3340</v>
      </c>
      <c r="M8">
        <v>2.52</v>
      </c>
      <c r="N8"/>
      <c r="O8"/>
      <c r="P8"/>
      <c r="R8">
        <v>115530</v>
      </c>
      <c r="T8">
        <v>21.16</v>
      </c>
    </row>
    <row r="9" spans="1:26" x14ac:dyDescent="0.2">
      <c r="L9" s="21">
        <v>3344</v>
      </c>
      <c r="M9">
        <v>2.4900000000000002</v>
      </c>
      <c r="N9"/>
      <c r="O9"/>
      <c r="P9"/>
      <c r="R9">
        <v>115600</v>
      </c>
      <c r="T9">
        <v>20.350000000000001</v>
      </c>
    </row>
    <row r="10" spans="1:26" x14ac:dyDescent="0.2">
      <c r="L10" s="21">
        <v>3347.9999999999995</v>
      </c>
      <c r="M10">
        <v>2.41</v>
      </c>
      <c r="N10"/>
      <c r="O10"/>
      <c r="P10"/>
      <c r="R10">
        <v>115670</v>
      </c>
      <c r="T10">
        <v>19.760000000000002</v>
      </c>
    </row>
    <row r="11" spans="1:26" x14ac:dyDescent="0.2">
      <c r="L11" s="21">
        <v>3352.0000000000005</v>
      </c>
      <c r="M11">
        <v>2.4300000000000002</v>
      </c>
      <c r="N11"/>
      <c r="O11"/>
      <c r="P11"/>
      <c r="R11">
        <v>115720</v>
      </c>
      <c r="T11">
        <v>19.98</v>
      </c>
    </row>
    <row r="12" spans="1:26" x14ac:dyDescent="0.2">
      <c r="L12" s="21">
        <v>3356</v>
      </c>
      <c r="M12">
        <v>2.38</v>
      </c>
      <c r="N12"/>
      <c r="O12"/>
      <c r="P12"/>
      <c r="R12">
        <v>115770</v>
      </c>
      <c r="T12">
        <v>19.64</v>
      </c>
    </row>
    <row r="13" spans="1:26" x14ac:dyDescent="0.2">
      <c r="L13" s="21">
        <v>3360</v>
      </c>
      <c r="M13">
        <v>2.4</v>
      </c>
      <c r="N13"/>
      <c r="O13"/>
      <c r="P13"/>
      <c r="R13">
        <v>115810</v>
      </c>
      <c r="T13">
        <v>20.46</v>
      </c>
    </row>
    <row r="14" spans="1:26" x14ac:dyDescent="0.2">
      <c r="L14" s="21">
        <v>3364</v>
      </c>
      <c r="M14">
        <v>2.35</v>
      </c>
      <c r="N14"/>
      <c r="O14"/>
      <c r="P14"/>
      <c r="R14">
        <v>115860</v>
      </c>
      <c r="T14">
        <v>20.36</v>
      </c>
    </row>
    <row r="15" spans="1:26" x14ac:dyDescent="0.2">
      <c r="L15" s="21">
        <v>3368</v>
      </c>
      <c r="M15">
        <v>2.73</v>
      </c>
      <c r="R15">
        <v>115930</v>
      </c>
      <c r="T15">
        <v>20.99</v>
      </c>
    </row>
    <row r="16" spans="1:26" x14ac:dyDescent="0.2">
      <c r="L16" s="21">
        <v>3372</v>
      </c>
      <c r="M16">
        <v>2.98</v>
      </c>
      <c r="R16">
        <v>116020</v>
      </c>
      <c r="T16">
        <v>19.809999999999999</v>
      </c>
    </row>
    <row r="17" spans="12:20" x14ac:dyDescent="0.2">
      <c r="L17" s="21">
        <v>3379.9999999999995</v>
      </c>
      <c r="M17">
        <v>3.02</v>
      </c>
      <c r="R17">
        <v>116080</v>
      </c>
      <c r="T17">
        <v>19.66</v>
      </c>
    </row>
    <row r="18" spans="12:20" x14ac:dyDescent="0.2">
      <c r="L18" s="21">
        <v>3384.0000000000005</v>
      </c>
      <c r="M18">
        <v>3.79</v>
      </c>
      <c r="R18">
        <v>116110</v>
      </c>
      <c r="T18">
        <v>19.53</v>
      </c>
    </row>
    <row r="19" spans="12:20" x14ac:dyDescent="0.2">
      <c r="L19" s="21">
        <v>3408</v>
      </c>
      <c r="M19">
        <v>3.53</v>
      </c>
      <c r="R19">
        <v>116230</v>
      </c>
      <c r="T19">
        <v>22.68</v>
      </c>
    </row>
    <row r="20" spans="12:20" x14ac:dyDescent="0.2">
      <c r="L20" s="21">
        <v>3424</v>
      </c>
      <c r="M20">
        <v>4.28</v>
      </c>
      <c r="R20">
        <v>116420</v>
      </c>
      <c r="T20">
        <v>22.58</v>
      </c>
    </row>
    <row r="21" spans="12:20" x14ac:dyDescent="0.2">
      <c r="L21" s="21">
        <v>3428</v>
      </c>
      <c r="M21">
        <v>3.85</v>
      </c>
      <c r="R21">
        <v>116620</v>
      </c>
      <c r="T21">
        <v>21.78</v>
      </c>
    </row>
    <row r="22" spans="12:20" x14ac:dyDescent="0.2">
      <c r="L22" s="21">
        <v>3432</v>
      </c>
      <c r="M22">
        <v>4.58</v>
      </c>
      <c r="R22">
        <v>116820</v>
      </c>
      <c r="T22">
        <v>22.98</v>
      </c>
    </row>
    <row r="23" spans="12:20" x14ac:dyDescent="0.2">
      <c r="L23" s="21">
        <v>3476</v>
      </c>
      <c r="M23">
        <v>4.0599999999999996</v>
      </c>
      <c r="R23">
        <v>117020</v>
      </c>
      <c r="T23">
        <v>22.53</v>
      </c>
    </row>
    <row r="24" spans="12:20" x14ac:dyDescent="0.2">
      <c r="L24" s="21">
        <v>3479.9999999999995</v>
      </c>
      <c r="M24">
        <v>3.18</v>
      </c>
      <c r="R24">
        <v>117220</v>
      </c>
      <c r="T24">
        <v>22.2</v>
      </c>
    </row>
    <row r="25" spans="12:20" x14ac:dyDescent="0.2">
      <c r="L25" s="21">
        <v>3488.0000000000005</v>
      </c>
      <c r="M25">
        <v>3.31</v>
      </c>
      <c r="R25">
        <v>117460</v>
      </c>
      <c r="T25">
        <v>22.52</v>
      </c>
    </row>
    <row r="26" spans="12:20" x14ac:dyDescent="0.2">
      <c r="L26" s="21">
        <v>3492</v>
      </c>
      <c r="M26">
        <v>4.21</v>
      </c>
      <c r="R26">
        <v>117740</v>
      </c>
      <c r="T26">
        <v>22.48</v>
      </c>
    </row>
    <row r="27" spans="12:20" x14ac:dyDescent="0.2">
      <c r="L27" s="21">
        <v>3496</v>
      </c>
      <c r="M27">
        <v>3.29</v>
      </c>
      <c r="R27">
        <v>118030</v>
      </c>
      <c r="T27">
        <v>22.86</v>
      </c>
    </row>
    <row r="28" spans="12:20" x14ac:dyDescent="0.2">
      <c r="L28" s="21">
        <v>3508</v>
      </c>
      <c r="M28">
        <v>3.29</v>
      </c>
      <c r="R28">
        <v>118350</v>
      </c>
      <c r="T28">
        <v>22.47</v>
      </c>
    </row>
    <row r="29" spans="12:20" x14ac:dyDescent="0.2">
      <c r="L29" s="21">
        <v>3511.9999999999995</v>
      </c>
      <c r="M29">
        <v>2.4700000000000002</v>
      </c>
      <c r="R29">
        <v>118650</v>
      </c>
      <c r="T29">
        <v>22.57</v>
      </c>
    </row>
    <row r="30" spans="12:20" x14ac:dyDescent="0.2">
      <c r="L30" s="21">
        <v>3540</v>
      </c>
      <c r="M30">
        <v>4.28</v>
      </c>
      <c r="R30">
        <v>118940</v>
      </c>
      <c r="T30">
        <v>22.56</v>
      </c>
    </row>
    <row r="31" spans="12:20" x14ac:dyDescent="0.2">
      <c r="L31" s="21"/>
      <c r="R31">
        <v>119230</v>
      </c>
      <c r="T31">
        <v>22.7</v>
      </c>
    </row>
    <row r="32" spans="12:20" x14ac:dyDescent="0.2">
      <c r="R32">
        <v>119540</v>
      </c>
      <c r="T32">
        <v>22.43</v>
      </c>
    </row>
    <row r="33" spans="18:20" x14ac:dyDescent="0.2">
      <c r="R33">
        <v>119880</v>
      </c>
      <c r="T33">
        <v>22.43</v>
      </c>
    </row>
    <row r="34" spans="18:20" x14ac:dyDescent="0.2">
      <c r="R34">
        <v>120250</v>
      </c>
      <c r="T34">
        <v>22.68</v>
      </c>
    </row>
    <row r="35" spans="18:20" x14ac:dyDescent="0.2">
      <c r="R35">
        <v>120620</v>
      </c>
      <c r="T35">
        <v>22.47</v>
      </c>
    </row>
    <row r="36" spans="18:20" x14ac:dyDescent="0.2">
      <c r="R36">
        <v>120970</v>
      </c>
      <c r="T36">
        <v>22.55</v>
      </c>
    </row>
    <row r="37" spans="18:20" x14ac:dyDescent="0.2">
      <c r="R37">
        <v>121370</v>
      </c>
      <c r="T37">
        <v>22.51</v>
      </c>
    </row>
    <row r="38" spans="18:20" x14ac:dyDescent="0.2">
      <c r="R38">
        <v>121810</v>
      </c>
      <c r="T38">
        <v>22.5</v>
      </c>
    </row>
    <row r="39" spans="18:20" x14ac:dyDescent="0.2">
      <c r="R39">
        <v>122240</v>
      </c>
      <c r="T39">
        <v>22.77</v>
      </c>
    </row>
    <row r="40" spans="18:20" x14ac:dyDescent="0.2">
      <c r="R40">
        <v>122670</v>
      </c>
      <c r="T40">
        <v>22.66</v>
      </c>
    </row>
    <row r="41" spans="18:20" x14ac:dyDescent="0.2">
      <c r="R41">
        <v>123080</v>
      </c>
      <c r="T41">
        <v>23.09</v>
      </c>
    </row>
    <row r="42" spans="18:20" x14ac:dyDescent="0.2">
      <c r="R42">
        <v>123490</v>
      </c>
      <c r="T42">
        <v>22.32</v>
      </c>
    </row>
    <row r="43" spans="18:20" x14ac:dyDescent="0.2">
      <c r="R43">
        <v>123880</v>
      </c>
      <c r="T43">
        <v>22.56</v>
      </c>
    </row>
    <row r="44" spans="18:20" x14ac:dyDescent="0.2">
      <c r="R44">
        <v>124270</v>
      </c>
      <c r="T44">
        <v>22.88</v>
      </c>
    </row>
    <row r="45" spans="18:20" x14ac:dyDescent="0.2">
      <c r="R45">
        <v>124650</v>
      </c>
      <c r="T45">
        <v>22.64</v>
      </c>
    </row>
    <row r="46" spans="18:20" x14ac:dyDescent="0.2">
      <c r="R46">
        <v>125660</v>
      </c>
      <c r="T46">
        <v>22.16</v>
      </c>
    </row>
    <row r="47" spans="18:20" x14ac:dyDescent="0.2">
      <c r="R47">
        <v>125990</v>
      </c>
      <c r="T47">
        <v>22.01</v>
      </c>
    </row>
    <row r="48" spans="18:20" x14ac:dyDescent="0.2">
      <c r="R48">
        <v>126360</v>
      </c>
      <c r="T48">
        <v>21.82</v>
      </c>
    </row>
    <row r="49" spans="18:20" x14ac:dyDescent="0.2">
      <c r="R49">
        <v>126640</v>
      </c>
      <c r="T49">
        <v>21.16</v>
      </c>
    </row>
    <row r="50" spans="18:20" x14ac:dyDescent="0.2">
      <c r="R50">
        <v>126850</v>
      </c>
      <c r="T50">
        <v>21.82</v>
      </c>
    </row>
    <row r="51" spans="18:20" x14ac:dyDescent="0.2">
      <c r="R51">
        <v>127040</v>
      </c>
      <c r="T51">
        <v>21.6</v>
      </c>
    </row>
    <row r="52" spans="18:20" x14ac:dyDescent="0.2">
      <c r="R52">
        <v>127210</v>
      </c>
      <c r="T52">
        <v>21.61</v>
      </c>
    </row>
    <row r="53" spans="18:20" x14ac:dyDescent="0.2">
      <c r="R53">
        <v>127360</v>
      </c>
      <c r="T53">
        <v>21.69</v>
      </c>
    </row>
    <row r="54" spans="18:20" x14ac:dyDescent="0.2">
      <c r="R54">
        <v>127490</v>
      </c>
      <c r="T54">
        <v>21.56</v>
      </c>
    </row>
    <row r="55" spans="18:20" x14ac:dyDescent="0.2">
      <c r="R55">
        <v>127610</v>
      </c>
      <c r="T55">
        <v>21.75</v>
      </c>
    </row>
    <row r="56" spans="18:20" x14ac:dyDescent="0.2">
      <c r="R56">
        <v>127740</v>
      </c>
      <c r="T56">
        <v>21.42</v>
      </c>
    </row>
    <row r="57" spans="18:20" x14ac:dyDescent="0.2">
      <c r="R57">
        <v>127870</v>
      </c>
      <c r="T57">
        <v>20.52</v>
      </c>
    </row>
    <row r="58" spans="18:20" x14ac:dyDescent="0.2">
      <c r="R58">
        <v>128000</v>
      </c>
      <c r="T58">
        <v>20.68</v>
      </c>
    </row>
    <row r="59" spans="18:20" x14ac:dyDescent="0.2">
      <c r="R59">
        <v>128130</v>
      </c>
      <c r="T59">
        <v>20.149999999999999</v>
      </c>
    </row>
    <row r="60" spans="18:20" x14ac:dyDescent="0.2">
      <c r="R60">
        <v>128250</v>
      </c>
      <c r="T60">
        <v>20.36</v>
      </c>
    </row>
    <row r="61" spans="18:20" x14ac:dyDescent="0.2">
      <c r="R61">
        <v>128360.00000000001</v>
      </c>
      <c r="T61">
        <v>20.11</v>
      </c>
    </row>
    <row r="62" spans="18:20" x14ac:dyDescent="0.2">
      <c r="R62">
        <v>128460.00000000001</v>
      </c>
      <c r="T62">
        <v>20.28</v>
      </c>
    </row>
    <row r="63" spans="18:20" x14ac:dyDescent="0.2">
      <c r="R63">
        <v>128539.99999999999</v>
      </c>
      <c r="T63">
        <v>19.61</v>
      </c>
    </row>
    <row r="64" spans="18:20" x14ac:dyDescent="0.2">
      <c r="R64">
        <v>128610.00000000001</v>
      </c>
      <c r="T64">
        <v>19.32</v>
      </c>
    </row>
    <row r="65" spans="18:20" x14ac:dyDescent="0.2">
      <c r="R65">
        <v>128680</v>
      </c>
      <c r="T65">
        <v>20.07</v>
      </c>
    </row>
    <row r="66" spans="18:20" x14ac:dyDescent="0.2">
      <c r="R66">
        <v>128750</v>
      </c>
      <c r="T66">
        <v>19.28</v>
      </c>
    </row>
    <row r="67" spans="18:20" x14ac:dyDescent="0.2">
      <c r="R67">
        <v>128820</v>
      </c>
      <c r="T67">
        <v>19.54</v>
      </c>
    </row>
    <row r="68" spans="18:20" x14ac:dyDescent="0.2">
      <c r="R68">
        <v>128889.99999999999</v>
      </c>
      <c r="T68">
        <v>19.28</v>
      </c>
    </row>
    <row r="69" spans="18:20" x14ac:dyDescent="0.2">
      <c r="R69">
        <v>128949.99999999999</v>
      </c>
      <c r="T69">
        <v>19.25</v>
      </c>
    </row>
    <row r="70" spans="18:20" x14ac:dyDescent="0.2">
      <c r="R70">
        <v>129009.99999999999</v>
      </c>
      <c r="T70">
        <v>19.2</v>
      </c>
    </row>
    <row r="71" spans="18:20" x14ac:dyDescent="0.2">
      <c r="R71">
        <v>129070</v>
      </c>
      <c r="T71">
        <v>19.88</v>
      </c>
    </row>
    <row r="72" spans="18:20" x14ac:dyDescent="0.2">
      <c r="R72">
        <v>129120</v>
      </c>
      <c r="T72">
        <v>19.41</v>
      </c>
    </row>
    <row r="73" spans="18:20" x14ac:dyDescent="0.2">
      <c r="R73">
        <v>129169.99999999999</v>
      </c>
      <c r="T73">
        <v>18.579999999999998</v>
      </c>
    </row>
    <row r="74" spans="18:20" x14ac:dyDescent="0.2">
      <c r="R74">
        <v>129220</v>
      </c>
      <c r="T74">
        <v>18.47</v>
      </c>
    </row>
    <row r="75" spans="18:20" x14ac:dyDescent="0.2">
      <c r="R75">
        <v>129259.99999999999</v>
      </c>
      <c r="T75">
        <v>18.010000000000002</v>
      </c>
    </row>
    <row r="76" spans="18:20" x14ac:dyDescent="0.2">
      <c r="R76">
        <v>129310</v>
      </c>
      <c r="T76">
        <v>17.68</v>
      </c>
    </row>
    <row r="77" spans="18:20" x14ac:dyDescent="0.2">
      <c r="R77">
        <v>129360.00000000001</v>
      </c>
      <c r="T77">
        <v>17.11</v>
      </c>
    </row>
    <row r="78" spans="18:20" x14ac:dyDescent="0.2">
      <c r="R78">
        <v>129410</v>
      </c>
      <c r="T78">
        <v>17.420000000000002</v>
      </c>
    </row>
    <row r="79" spans="18:20" x14ac:dyDescent="0.2">
      <c r="R79">
        <v>129460.00000000001</v>
      </c>
      <c r="T79">
        <v>17.57</v>
      </c>
    </row>
    <row r="80" spans="18:20" x14ac:dyDescent="0.2">
      <c r="R80">
        <v>129490.00000000001</v>
      </c>
      <c r="T80">
        <v>17.52</v>
      </c>
    </row>
    <row r="81" spans="18:20" x14ac:dyDescent="0.2">
      <c r="R81">
        <v>129520.00000000001</v>
      </c>
      <c r="T81">
        <v>16.95</v>
      </c>
    </row>
    <row r="82" spans="18:20" x14ac:dyDescent="0.2">
      <c r="R82">
        <v>129550.00000000001</v>
      </c>
      <c r="T82">
        <v>16.920000000000002</v>
      </c>
    </row>
    <row r="83" spans="18:20" x14ac:dyDescent="0.2">
      <c r="R83">
        <v>129580.00000000001</v>
      </c>
      <c r="T83">
        <v>16.600000000000001</v>
      </c>
    </row>
    <row r="84" spans="18:20" x14ac:dyDescent="0.2">
      <c r="R84">
        <v>129639.99999999999</v>
      </c>
      <c r="T84">
        <v>16.850000000000001</v>
      </c>
    </row>
    <row r="85" spans="18:20" x14ac:dyDescent="0.2">
      <c r="R85">
        <v>129699.99999999999</v>
      </c>
      <c r="T85">
        <v>16.739999999999998</v>
      </c>
    </row>
    <row r="86" spans="18:20" x14ac:dyDescent="0.2">
      <c r="R86">
        <v>129750</v>
      </c>
      <c r="T86">
        <v>16.55</v>
      </c>
    </row>
    <row r="87" spans="18:20" x14ac:dyDescent="0.2">
      <c r="R87">
        <v>129800.00000000001</v>
      </c>
      <c r="T87">
        <v>16.760000000000002</v>
      </c>
    </row>
    <row r="88" spans="18:20" x14ac:dyDescent="0.2">
      <c r="R88">
        <v>129860.00000000001</v>
      </c>
      <c r="T88">
        <v>17.100000000000001</v>
      </c>
    </row>
    <row r="89" spans="18:20" x14ac:dyDescent="0.2">
      <c r="R89">
        <v>129919.99999999999</v>
      </c>
      <c r="T89">
        <v>17.36</v>
      </c>
    </row>
    <row r="90" spans="18:20" x14ac:dyDescent="0.2">
      <c r="R90">
        <v>129979.99999999999</v>
      </c>
      <c r="T90">
        <v>17.12</v>
      </c>
    </row>
    <row r="91" spans="18:20" x14ac:dyDescent="0.2">
      <c r="R91">
        <v>130039.99999999999</v>
      </c>
      <c r="T91">
        <v>17.37</v>
      </c>
    </row>
    <row r="92" spans="18:20" x14ac:dyDescent="0.2">
      <c r="R92">
        <v>130100</v>
      </c>
      <c r="T92">
        <v>17.190000000000001</v>
      </c>
    </row>
    <row r="93" spans="18:20" x14ac:dyDescent="0.2">
      <c r="R93">
        <v>130160</v>
      </c>
      <c r="T93">
        <v>16.940000000000001</v>
      </c>
    </row>
    <row r="94" spans="18:20" x14ac:dyDescent="0.2">
      <c r="R94">
        <v>130220</v>
      </c>
      <c r="T94">
        <v>16.940000000000001</v>
      </c>
    </row>
    <row r="95" spans="18:20" x14ac:dyDescent="0.2">
      <c r="R95">
        <v>130280</v>
      </c>
      <c r="T95">
        <v>16.690000000000001</v>
      </c>
    </row>
    <row r="96" spans="18:20" x14ac:dyDescent="0.2">
      <c r="R96">
        <v>130340</v>
      </c>
      <c r="T96">
        <v>16.579999999999998</v>
      </c>
    </row>
    <row r="97" spans="18:20" x14ac:dyDescent="0.2">
      <c r="R97">
        <v>130400</v>
      </c>
      <c r="T97">
        <v>16.72</v>
      </c>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A3F79900-58B4-BA45-B586-639957379E91}"/>
  </hyperlinks>
  <pageMargins left="0.75" right="0.75" top="1" bottom="1" header="0.5" footer="0.5"/>
  <pageSetup orientation="portrait" horizontalDpi="4294967292" verticalDpi="429496729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B202C1-35E5-DB4D-8A23-AA35CAF0A05B}">
  <sheetPr>
    <tabColor rgb="FF0000FF"/>
  </sheetPr>
  <dimension ref="A1:Z200"/>
  <sheetViews>
    <sheetView zoomScale="108" workbookViewId="0">
      <selection activeCell="L26" sqref="L26"/>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t="s">
        <v>65</v>
      </c>
      <c r="B2" s="12">
        <v>-122.2833</v>
      </c>
      <c r="C2" s="12">
        <v>34.533329999999999</v>
      </c>
      <c r="D2" s="10" t="s">
        <v>11</v>
      </c>
      <c r="E2" s="6"/>
      <c r="F2" s="6"/>
      <c r="G2" s="6"/>
      <c r="M2"/>
      <c r="N2">
        <v>7.29</v>
      </c>
      <c r="O2">
        <v>0.46899999999999997</v>
      </c>
      <c r="P2"/>
      <c r="R2">
        <v>115382.3</v>
      </c>
      <c r="T2">
        <v>12.653</v>
      </c>
      <c r="V2" s="6" t="s">
        <v>63</v>
      </c>
      <c r="W2" s="13" t="s">
        <v>64</v>
      </c>
      <c r="Y2" s="6" t="s">
        <v>61</v>
      </c>
      <c r="Z2">
        <v>-3834</v>
      </c>
    </row>
    <row r="3" spans="1:26" x14ac:dyDescent="0.2">
      <c r="E3" s="6"/>
      <c r="F3" s="6"/>
      <c r="G3" s="6"/>
      <c r="M3"/>
      <c r="N3">
        <v>7.38</v>
      </c>
      <c r="O3">
        <v>0.49</v>
      </c>
      <c r="P3"/>
      <c r="R3">
        <v>116697.60000000001</v>
      </c>
      <c r="T3">
        <v>13.276</v>
      </c>
    </row>
    <row r="4" spans="1:26" x14ac:dyDescent="0.2">
      <c r="E4" s="6"/>
      <c r="F4" s="6"/>
      <c r="G4" s="6"/>
      <c r="M4"/>
      <c r="N4">
        <v>7.47</v>
      </c>
      <c r="O4">
        <v>0.47299999999999998</v>
      </c>
      <c r="P4"/>
      <c r="R4">
        <v>118012.8</v>
      </c>
      <c r="T4">
        <v>12.750999999999999</v>
      </c>
    </row>
    <row r="5" spans="1:26" x14ac:dyDescent="0.2">
      <c r="E5" s="6"/>
      <c r="F5" s="6"/>
      <c r="G5" s="6"/>
      <c r="M5"/>
      <c r="N5">
        <v>7.56</v>
      </c>
      <c r="O5">
        <v>0.51900000000000002</v>
      </c>
      <c r="P5"/>
      <c r="R5">
        <v>119328.1</v>
      </c>
      <c r="T5">
        <v>14.114000000000001</v>
      </c>
    </row>
    <row r="6" spans="1:26" x14ac:dyDescent="0.2">
      <c r="M6"/>
      <c r="N6">
        <v>7.65</v>
      </c>
      <c r="O6">
        <v>0.56599999999999995</v>
      </c>
      <c r="P6"/>
      <c r="R6">
        <v>120643.4</v>
      </c>
      <c r="T6">
        <v>15.496</v>
      </c>
    </row>
    <row r="7" spans="1:26" x14ac:dyDescent="0.2">
      <c r="M7"/>
      <c r="N7">
        <v>7.74</v>
      </c>
      <c r="O7">
        <v>0.61499999999999999</v>
      </c>
      <c r="P7"/>
      <c r="R7">
        <v>121958.7</v>
      </c>
      <c r="T7">
        <v>16.943000000000001</v>
      </c>
    </row>
    <row r="8" spans="1:26" x14ac:dyDescent="0.2">
      <c r="M8"/>
      <c r="N8">
        <v>7.83</v>
      </c>
      <c r="O8">
        <v>0.63500000000000001</v>
      </c>
      <c r="P8"/>
      <c r="R8">
        <v>123274</v>
      </c>
      <c r="T8">
        <v>17.536999999999999</v>
      </c>
    </row>
    <row r="9" spans="1:26" x14ac:dyDescent="0.2">
      <c r="M9"/>
      <c r="N9">
        <v>7.92</v>
      </c>
      <c r="O9">
        <v>0.629</v>
      </c>
      <c r="P9"/>
      <c r="R9">
        <v>123813.4</v>
      </c>
      <c r="T9">
        <v>17.34</v>
      </c>
    </row>
    <row r="10" spans="1:26" x14ac:dyDescent="0.2">
      <c r="M10"/>
      <c r="N10">
        <v>8.01</v>
      </c>
      <c r="O10">
        <v>0.61399999999999999</v>
      </c>
      <c r="P10"/>
      <c r="R10">
        <v>124352.9</v>
      </c>
      <c r="T10">
        <v>16.919</v>
      </c>
    </row>
    <row r="11" spans="1:26" x14ac:dyDescent="0.2">
      <c r="M11"/>
      <c r="N11">
        <v>8.1</v>
      </c>
      <c r="O11">
        <v>0.54500000000000004</v>
      </c>
      <c r="P11"/>
      <c r="R11">
        <v>124892.3</v>
      </c>
      <c r="T11">
        <v>14.893000000000001</v>
      </c>
    </row>
    <row r="12" spans="1:26" x14ac:dyDescent="0.2">
      <c r="M12"/>
      <c r="N12">
        <v>8.19</v>
      </c>
      <c r="O12">
        <v>0.51500000000000001</v>
      </c>
      <c r="P12"/>
      <c r="R12">
        <v>125431.7</v>
      </c>
      <c r="T12">
        <v>14.013</v>
      </c>
    </row>
    <row r="13" spans="1:26" x14ac:dyDescent="0.2">
      <c r="M13"/>
      <c r="N13">
        <v>8.2799999999999994</v>
      </c>
      <c r="O13">
        <v>0.48599999999999999</v>
      </c>
      <c r="P13"/>
      <c r="R13">
        <v>125971.1</v>
      </c>
      <c r="T13">
        <v>13.138999999999999</v>
      </c>
    </row>
    <row r="14" spans="1:26" x14ac:dyDescent="0.2">
      <c r="M14"/>
      <c r="N14">
        <v>8.3699999999999992</v>
      </c>
      <c r="O14">
        <v>0.46800000000000003</v>
      </c>
      <c r="P14"/>
      <c r="R14">
        <v>126510.6</v>
      </c>
      <c r="T14">
        <v>12.632</v>
      </c>
    </row>
    <row r="15" spans="1:26" x14ac:dyDescent="0.2">
      <c r="M15"/>
      <c r="N15">
        <v>8.4600000000000009</v>
      </c>
      <c r="O15">
        <v>0.46899999999999997</v>
      </c>
      <c r="R15">
        <v>127050</v>
      </c>
      <c r="T15">
        <v>12.662000000000001</v>
      </c>
    </row>
    <row r="16" spans="1:26" x14ac:dyDescent="0.2">
      <c r="M16"/>
      <c r="N16">
        <v>8.5500000000000007</v>
      </c>
      <c r="O16">
        <v>0.51500000000000001</v>
      </c>
      <c r="R16">
        <v>128775.2</v>
      </c>
      <c r="T16">
        <v>13.997999999999999</v>
      </c>
    </row>
    <row r="17" spans="13:20" x14ac:dyDescent="0.2">
      <c r="M17"/>
      <c r="N17">
        <v>8.64</v>
      </c>
      <c r="O17">
        <v>0.498</v>
      </c>
      <c r="R17">
        <v>130500.3</v>
      </c>
      <c r="T17">
        <v>13.505000000000001</v>
      </c>
    </row>
    <row r="18" spans="13:20" x14ac:dyDescent="0.2">
      <c r="M18"/>
      <c r="N18">
        <v>8.73</v>
      </c>
      <c r="O18">
        <v>0.47799999999999998</v>
      </c>
      <c r="R18">
        <v>132225.5</v>
      </c>
      <c r="T18">
        <v>12.925000000000001</v>
      </c>
    </row>
    <row r="19" spans="13:20" x14ac:dyDescent="0.2">
      <c r="M19"/>
      <c r="N19">
        <v>8.82</v>
      </c>
      <c r="O19">
        <v>0.441</v>
      </c>
      <c r="R19">
        <v>133950.6</v>
      </c>
      <c r="T19">
        <v>11.813000000000001</v>
      </c>
    </row>
    <row r="20" spans="13:20" x14ac:dyDescent="0.2">
      <c r="M20"/>
      <c r="N20">
        <v>8.91</v>
      </c>
      <c r="O20">
        <v>0.45400000000000001</v>
      </c>
      <c r="R20">
        <v>134761.9</v>
      </c>
      <c r="T20">
        <v>12.196</v>
      </c>
    </row>
    <row r="21" spans="13:20" x14ac:dyDescent="0.2">
      <c r="M21"/>
      <c r="N21">
        <v>9</v>
      </c>
      <c r="O21">
        <v>0.42199999999999999</v>
      </c>
      <c r="R21">
        <v>135573.20000000001</v>
      </c>
      <c r="T21">
        <v>11.263</v>
      </c>
    </row>
    <row r="22" spans="13:20" x14ac:dyDescent="0.2">
      <c r="M22"/>
      <c r="N22">
        <v>9.1</v>
      </c>
      <c r="O22">
        <v>0.38300000000000001</v>
      </c>
      <c r="R22">
        <v>136474.70000000001</v>
      </c>
      <c r="T22">
        <v>10.114000000000001</v>
      </c>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E449D-F904-A54C-A2F4-9037C4D916BF}">
  <sheetPr>
    <tabColor rgb="FF0000FF"/>
  </sheetPr>
  <dimension ref="A1:Z200"/>
  <sheetViews>
    <sheetView zoomScale="108" workbookViewId="0">
      <selection activeCell="Y2" sqref="Y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t="s">
        <v>60</v>
      </c>
      <c r="B2" s="12">
        <v>-118.9</v>
      </c>
      <c r="C2" s="12">
        <v>-32.799999999999997</v>
      </c>
      <c r="D2" s="10" t="s">
        <v>11</v>
      </c>
      <c r="E2" s="6"/>
      <c r="F2" s="6"/>
      <c r="G2" s="6"/>
      <c r="M2"/>
      <c r="N2">
        <v>13</v>
      </c>
      <c r="O2">
        <v>0.59199999999999997</v>
      </c>
      <c r="P2"/>
      <c r="R2">
        <v>116675</v>
      </c>
      <c r="T2">
        <v>16.253</v>
      </c>
      <c r="V2" s="6" t="s">
        <v>63</v>
      </c>
      <c r="W2" s="13" t="s">
        <v>62</v>
      </c>
      <c r="Y2" s="6" t="s">
        <v>61</v>
      </c>
      <c r="Z2">
        <v>-1165</v>
      </c>
    </row>
    <row r="3" spans="1:26" x14ac:dyDescent="0.2">
      <c r="E3" s="6"/>
      <c r="F3" s="6"/>
      <c r="G3" s="6"/>
      <c r="M3"/>
      <c r="N3">
        <v>13.2</v>
      </c>
      <c r="O3">
        <v>0.64600000000000002</v>
      </c>
      <c r="P3"/>
      <c r="R3">
        <v>119290.6</v>
      </c>
      <c r="T3">
        <v>17.864999999999998</v>
      </c>
    </row>
    <row r="4" spans="1:26" x14ac:dyDescent="0.2">
      <c r="E4" s="6"/>
      <c r="F4" s="6"/>
      <c r="G4" s="6"/>
      <c r="M4"/>
      <c r="N4">
        <v>13.81</v>
      </c>
      <c r="O4">
        <v>0.59599999999999997</v>
      </c>
      <c r="P4"/>
      <c r="R4">
        <v>124094</v>
      </c>
      <c r="T4">
        <v>16.390999999999998</v>
      </c>
    </row>
    <row r="5" spans="1:26" x14ac:dyDescent="0.2">
      <c r="E5" s="6"/>
      <c r="F5" s="6"/>
      <c r="G5" s="6"/>
      <c r="M5"/>
      <c r="N5">
        <v>13.4</v>
      </c>
      <c r="O5">
        <v>0.68500000000000005</v>
      </c>
      <c r="P5"/>
      <c r="R5">
        <v>121906.1</v>
      </c>
      <c r="T5">
        <v>19.007000000000001</v>
      </c>
    </row>
    <row r="6" spans="1:26" x14ac:dyDescent="0.2">
      <c r="M6"/>
      <c r="N6">
        <v>14.01</v>
      </c>
      <c r="O6">
        <v>0.57799999999999996</v>
      </c>
      <c r="P6"/>
      <c r="R6">
        <v>125007.3</v>
      </c>
      <c r="T6">
        <v>15.855</v>
      </c>
    </row>
    <row r="7" spans="1:26" x14ac:dyDescent="0.2">
      <c r="M7"/>
      <c r="N7">
        <v>13.62</v>
      </c>
      <c r="O7">
        <v>0.67300000000000004</v>
      </c>
      <c r="P7"/>
      <c r="R7">
        <v>123274</v>
      </c>
      <c r="T7">
        <v>18.648</v>
      </c>
    </row>
    <row r="8" spans="1:26" x14ac:dyDescent="0.2">
      <c r="M8"/>
      <c r="N8">
        <v>14.21</v>
      </c>
      <c r="O8">
        <v>0.69299999999999995</v>
      </c>
      <c r="P8"/>
      <c r="R8">
        <v>127050</v>
      </c>
      <c r="T8">
        <v>19.236000000000001</v>
      </c>
    </row>
    <row r="9" spans="1:26" x14ac:dyDescent="0.2">
      <c r="M9"/>
      <c r="N9">
        <v>13.78</v>
      </c>
      <c r="O9">
        <v>0.67700000000000005</v>
      </c>
      <c r="P9"/>
      <c r="R9">
        <v>123957</v>
      </c>
      <c r="T9">
        <v>18.766999999999999</v>
      </c>
    </row>
    <row r="10" spans="1:26" x14ac:dyDescent="0.2">
      <c r="M10"/>
      <c r="N10">
        <v>14.41</v>
      </c>
      <c r="O10">
        <v>0.56499999999999995</v>
      </c>
      <c r="P10"/>
      <c r="R10">
        <v>129375</v>
      </c>
      <c r="T10">
        <v>15.47</v>
      </c>
    </row>
    <row r="11" spans="1:26" x14ac:dyDescent="0.2">
      <c r="M11"/>
      <c r="N11">
        <v>14.61</v>
      </c>
      <c r="O11">
        <v>0.57999999999999996</v>
      </c>
      <c r="P11"/>
      <c r="R11">
        <v>130705.4</v>
      </c>
      <c r="T11">
        <v>15.911</v>
      </c>
    </row>
    <row r="12" spans="1:26" x14ac:dyDescent="0.2">
      <c r="M12"/>
      <c r="N12">
        <v>14.81</v>
      </c>
      <c r="O12">
        <v>0.57099999999999995</v>
      </c>
      <c r="P12"/>
      <c r="R12">
        <v>131787.1</v>
      </c>
      <c r="T12">
        <v>15.645</v>
      </c>
    </row>
    <row r="13" spans="1:26" x14ac:dyDescent="0.2">
      <c r="M13"/>
      <c r="N13">
        <v>15.01</v>
      </c>
      <c r="O13">
        <v>0.57999999999999996</v>
      </c>
      <c r="P13"/>
      <c r="R13">
        <v>132868.9</v>
      </c>
      <c r="T13">
        <v>15.903</v>
      </c>
    </row>
    <row r="14" spans="1:26" x14ac:dyDescent="0.2">
      <c r="M14"/>
      <c r="N14">
        <v>15.21</v>
      </c>
      <c r="O14">
        <v>0.60899999999999999</v>
      </c>
      <c r="P14"/>
      <c r="R14">
        <v>133950.6</v>
      </c>
      <c r="T14">
        <v>16.77</v>
      </c>
    </row>
    <row r="15" spans="1:26" x14ac:dyDescent="0.2">
      <c r="M15"/>
      <c r="N15">
        <v>15.31</v>
      </c>
      <c r="O15">
        <v>0.56299999999999994</v>
      </c>
      <c r="R15">
        <v>134491.5</v>
      </c>
      <c r="T15">
        <v>15.417</v>
      </c>
    </row>
    <row r="16" spans="1:26" x14ac:dyDescent="0.2">
      <c r="M16"/>
      <c r="N16">
        <v>15.51</v>
      </c>
      <c r="O16">
        <v>0.495</v>
      </c>
      <c r="R16">
        <v>135573.20000000001</v>
      </c>
      <c r="T16">
        <v>13.406000000000001</v>
      </c>
    </row>
    <row r="17" spans="13:20" x14ac:dyDescent="0.2">
      <c r="M17"/>
      <c r="N17">
        <v>15.71</v>
      </c>
      <c r="O17">
        <v>0.501</v>
      </c>
      <c r="R17">
        <v>136655</v>
      </c>
      <c r="T17">
        <v>13.595000000000001</v>
      </c>
    </row>
    <row r="18" spans="13:20" x14ac:dyDescent="0.2">
      <c r="M18"/>
      <c r="N18">
        <v>15.91</v>
      </c>
      <c r="O18">
        <v>0.49099999999999999</v>
      </c>
      <c r="R18">
        <v>137736.70000000001</v>
      </c>
      <c r="T18">
        <v>13.294</v>
      </c>
    </row>
    <row r="19" spans="13:20" x14ac:dyDescent="0.2">
      <c r="M19"/>
      <c r="N19">
        <v>16.11</v>
      </c>
      <c r="O19">
        <v>0.46400000000000002</v>
      </c>
      <c r="R19">
        <v>138818.4</v>
      </c>
      <c r="T19">
        <v>12.509</v>
      </c>
    </row>
    <row r="20" spans="13:20" x14ac:dyDescent="0.2">
      <c r="M20"/>
      <c r="N20">
        <v>16.309999999999999</v>
      </c>
      <c r="O20">
        <v>0.47099999999999997</v>
      </c>
      <c r="R20">
        <v>139900.20000000001</v>
      </c>
      <c r="T20">
        <v>12.7</v>
      </c>
    </row>
    <row r="21" spans="13:20" x14ac:dyDescent="0.2">
      <c r="M21"/>
      <c r="R21"/>
      <c r="T21"/>
    </row>
    <row r="22" spans="13:20" x14ac:dyDescent="0.2">
      <c r="M22"/>
      <c r="R22"/>
      <c r="T22"/>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599E00E6-8E5D-5447-8CFB-0D0F46A45F44}"/>
  </hyperlinks>
  <pageMargins left="0.75" right="0.75" top="1" bottom="1" header="0.5" footer="0.5"/>
  <pageSetup orientation="portrait" horizontalDpi="4294967292" verticalDpi="429496729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862DE3-D120-7D4D-9F10-9C3F0DB2DCBD}">
  <sheetPr>
    <tabColor rgb="FF0000FF"/>
  </sheetPr>
  <dimension ref="A1:AB200"/>
  <sheetViews>
    <sheetView topLeftCell="C1" zoomScale="67" workbookViewId="0">
      <selection activeCell="P31" sqref="P31"/>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c r="AA1" s="8" t="s">
        <v>70</v>
      </c>
      <c r="AB1" s="8" t="s">
        <v>71</v>
      </c>
    </row>
    <row r="2" spans="1:28" x14ac:dyDescent="0.2">
      <c r="A2" s="9" t="s">
        <v>66</v>
      </c>
      <c r="B2" s="12">
        <v>-78.73</v>
      </c>
      <c r="C2" s="12">
        <v>12.75</v>
      </c>
      <c r="D2" s="10" t="s">
        <v>20</v>
      </c>
      <c r="E2" s="6"/>
      <c r="F2" s="6"/>
      <c r="G2" s="6"/>
      <c r="M2"/>
      <c r="N2">
        <v>481</v>
      </c>
      <c r="O2">
        <v>3.722</v>
      </c>
      <c r="P2"/>
      <c r="R2">
        <v>115880</v>
      </c>
      <c r="T2">
        <v>27.1</v>
      </c>
      <c r="V2" s="6" t="s">
        <v>67</v>
      </c>
      <c r="W2" s="13" t="s">
        <v>68</v>
      </c>
      <c r="Y2" s="6" t="s">
        <v>69</v>
      </c>
      <c r="Z2">
        <v>-2827</v>
      </c>
      <c r="AA2">
        <v>-1.7</v>
      </c>
      <c r="AB2">
        <v>0.76</v>
      </c>
    </row>
    <row r="3" spans="1:28" x14ac:dyDescent="0.2">
      <c r="E3" s="6"/>
      <c r="F3" s="6"/>
      <c r="G3" s="6"/>
      <c r="M3"/>
      <c r="N3">
        <v>488</v>
      </c>
      <c r="O3">
        <v>3.931</v>
      </c>
      <c r="P3"/>
      <c r="R3">
        <v>117590</v>
      </c>
      <c r="T3">
        <v>27.7</v>
      </c>
      <c r="AA3">
        <v>-1.85</v>
      </c>
      <c r="AB3">
        <v>0.73</v>
      </c>
    </row>
    <row r="4" spans="1:28" x14ac:dyDescent="0.2">
      <c r="E4" s="6"/>
      <c r="F4" s="6"/>
      <c r="G4" s="6"/>
      <c r="M4"/>
      <c r="N4">
        <v>493</v>
      </c>
      <c r="O4">
        <v>3.746</v>
      </c>
      <c r="P4"/>
      <c r="R4">
        <v>118820</v>
      </c>
      <c r="T4">
        <v>27.1</v>
      </c>
      <c r="AA4">
        <v>-1.96</v>
      </c>
      <c r="AB4">
        <v>0.51</v>
      </c>
    </row>
    <row r="5" spans="1:28" x14ac:dyDescent="0.2">
      <c r="E5" s="6"/>
      <c r="F5" s="6"/>
      <c r="G5" s="6"/>
      <c r="M5"/>
      <c r="N5">
        <v>498</v>
      </c>
      <c r="O5">
        <v>4.0529999999999999</v>
      </c>
      <c r="P5"/>
      <c r="R5">
        <v>120040</v>
      </c>
      <c r="T5">
        <v>28</v>
      </c>
      <c r="AA5">
        <v>-1.88</v>
      </c>
      <c r="AB5">
        <v>0.78</v>
      </c>
    </row>
    <row r="6" spans="1:28" x14ac:dyDescent="0.2">
      <c r="M6"/>
      <c r="N6">
        <v>503</v>
      </c>
      <c r="O6">
        <v>4.1070000000000002</v>
      </c>
      <c r="P6"/>
      <c r="R6">
        <v>121440</v>
      </c>
      <c r="T6">
        <v>28.2</v>
      </c>
      <c r="AA6">
        <v>-1.74</v>
      </c>
      <c r="AB6">
        <v>0.95</v>
      </c>
    </row>
    <row r="7" spans="1:28" x14ac:dyDescent="0.2">
      <c r="M7"/>
      <c r="N7">
        <v>506</v>
      </c>
      <c r="O7">
        <v>4.4530000000000003</v>
      </c>
      <c r="P7"/>
      <c r="R7">
        <v>123890</v>
      </c>
      <c r="T7">
        <v>29.1</v>
      </c>
      <c r="AA7">
        <v>-2.0699999999999998</v>
      </c>
      <c r="AB7">
        <v>0.8</v>
      </c>
    </row>
    <row r="8" spans="1:28" x14ac:dyDescent="0.2">
      <c r="M8"/>
      <c r="N8">
        <v>511</v>
      </c>
      <c r="O8">
        <v>4.3109999999999999</v>
      </c>
      <c r="P8"/>
      <c r="R8">
        <v>126100</v>
      </c>
      <c r="T8">
        <v>28.7</v>
      </c>
      <c r="AA8">
        <v>-1.83</v>
      </c>
      <c r="AB8">
        <v>0.97</v>
      </c>
    </row>
    <row r="9" spans="1:28" x14ac:dyDescent="0.2">
      <c r="M9"/>
      <c r="N9">
        <v>517</v>
      </c>
      <c r="O9">
        <v>4.6550000000000002</v>
      </c>
      <c r="P9"/>
      <c r="R9">
        <v>128600</v>
      </c>
      <c r="T9">
        <v>29.5</v>
      </c>
      <c r="AA9">
        <v>-1.68</v>
      </c>
      <c r="AB9">
        <v>1.3</v>
      </c>
    </row>
    <row r="10" spans="1:28" x14ac:dyDescent="0.2">
      <c r="M10"/>
      <c r="N10">
        <v>522</v>
      </c>
      <c r="O10">
        <v>4.516</v>
      </c>
      <c r="P10"/>
      <c r="R10">
        <v>130750</v>
      </c>
      <c r="T10">
        <v>29.2</v>
      </c>
      <c r="AA10">
        <v>-1.76</v>
      </c>
      <c r="AB10">
        <v>1.1499999999999999</v>
      </c>
    </row>
    <row r="11" spans="1:28" x14ac:dyDescent="0.2">
      <c r="M11"/>
      <c r="N11">
        <v>526</v>
      </c>
      <c r="O11">
        <v>4.26</v>
      </c>
      <c r="P11"/>
      <c r="R11">
        <v>131800</v>
      </c>
      <c r="T11">
        <v>28.6</v>
      </c>
      <c r="AA11">
        <v>-1.51</v>
      </c>
      <c r="AB11">
        <v>1.26</v>
      </c>
    </row>
    <row r="12" spans="1:28" x14ac:dyDescent="0.2">
      <c r="M12"/>
      <c r="N12">
        <v>531</v>
      </c>
      <c r="O12">
        <v>3.88</v>
      </c>
      <c r="P12"/>
      <c r="R12">
        <v>132800</v>
      </c>
      <c r="T12">
        <v>27.5</v>
      </c>
      <c r="AA12">
        <v>-0.89</v>
      </c>
      <c r="AB12">
        <v>1.67</v>
      </c>
    </row>
    <row r="13" spans="1:28" x14ac:dyDescent="0.2">
      <c r="M13"/>
      <c r="N13">
        <v>537</v>
      </c>
      <c r="O13">
        <v>4.01</v>
      </c>
      <c r="P13"/>
      <c r="R13">
        <v>133200</v>
      </c>
      <c r="T13">
        <v>27.9</v>
      </c>
      <c r="AA13">
        <v>-0.55000000000000004</v>
      </c>
      <c r="AB13">
        <v>2.08</v>
      </c>
    </row>
    <row r="14" spans="1:28" x14ac:dyDescent="0.2">
      <c r="M14"/>
      <c r="N14">
        <v>542</v>
      </c>
      <c r="O14">
        <v>3.81</v>
      </c>
      <c r="P14"/>
      <c r="R14">
        <v>135100</v>
      </c>
      <c r="T14">
        <v>27.3</v>
      </c>
      <c r="AA14">
        <v>-0.54</v>
      </c>
      <c r="AB14">
        <v>1.97</v>
      </c>
    </row>
    <row r="15" spans="1:28" x14ac:dyDescent="0.2">
      <c r="M15"/>
      <c r="N15">
        <v>547</v>
      </c>
      <c r="O15">
        <v>3.32</v>
      </c>
      <c r="R15">
        <v>135900</v>
      </c>
      <c r="T15">
        <v>25.8</v>
      </c>
      <c r="AA15">
        <v>-0.24</v>
      </c>
      <c r="AB15">
        <v>1.95</v>
      </c>
    </row>
    <row r="16" spans="1:28" x14ac:dyDescent="0.2">
      <c r="M16"/>
      <c r="N16"/>
      <c r="O16"/>
      <c r="R16"/>
      <c r="T16"/>
    </row>
    <row r="17" spans="13:20" x14ac:dyDescent="0.2">
      <c r="M17"/>
      <c r="N17"/>
      <c r="O17"/>
      <c r="R17"/>
      <c r="T17"/>
    </row>
    <row r="18" spans="13:20" x14ac:dyDescent="0.2">
      <c r="M18"/>
      <c r="N18"/>
      <c r="O18"/>
      <c r="R18"/>
      <c r="T18"/>
    </row>
    <row r="19" spans="13:20" x14ac:dyDescent="0.2">
      <c r="M19"/>
      <c r="N19"/>
      <c r="O19"/>
      <c r="R19"/>
      <c r="T19"/>
    </row>
    <row r="20" spans="13:20" x14ac:dyDescent="0.2">
      <c r="M20"/>
      <c r="N20"/>
      <c r="O20"/>
      <c r="R20"/>
      <c r="T20"/>
    </row>
    <row r="21" spans="13:20" x14ac:dyDescent="0.2">
      <c r="M21"/>
      <c r="R21"/>
      <c r="T21"/>
    </row>
    <row r="22" spans="13:20" x14ac:dyDescent="0.2">
      <c r="M22"/>
      <c r="R22"/>
      <c r="T22"/>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9FAA21BA-0E49-1246-BB74-9932480ED064}"/>
  </hyperlinks>
  <pageMargins left="0.75" right="0.75" top="1" bottom="1" header="0.5" footer="0.5"/>
  <pageSetup orientation="portrait" horizontalDpi="4294967292" verticalDpi="429496729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8DBC3B-6B29-5843-8C74-7E5F31A43C77}">
  <sheetPr>
    <tabColor rgb="FF0000FF"/>
  </sheetPr>
  <dimension ref="A1:AB200"/>
  <sheetViews>
    <sheetView topLeftCell="D1" zoomScale="93" workbookViewId="0">
      <selection activeCell="W2" sqref="W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72</v>
      </c>
      <c r="B2" s="12">
        <v>179.3</v>
      </c>
      <c r="C2" s="12">
        <v>-44.32</v>
      </c>
      <c r="D2" s="10" t="s">
        <v>11</v>
      </c>
      <c r="E2" s="6"/>
      <c r="F2" s="6"/>
      <c r="G2" s="6"/>
      <c r="M2"/>
      <c r="N2" s="23">
        <v>246</v>
      </c>
      <c r="O2" s="24">
        <v>0.52409759128531497</v>
      </c>
      <c r="P2"/>
      <c r="R2" s="22">
        <v>115857.5</v>
      </c>
      <c r="S2" s="6">
        <v>12.267576214273969</v>
      </c>
      <c r="T2">
        <v>14.267576214273969</v>
      </c>
      <c r="U2" s="6">
        <v>16.267576214273969</v>
      </c>
      <c r="V2" s="6" t="s">
        <v>75</v>
      </c>
      <c r="W2" s="13" t="s">
        <v>73</v>
      </c>
      <c r="Y2" s="6" t="s">
        <v>74</v>
      </c>
      <c r="Z2">
        <v>-1300</v>
      </c>
      <c r="AA2"/>
      <c r="AB2"/>
    </row>
    <row r="3" spans="1:28" x14ac:dyDescent="0.2">
      <c r="E3" s="6"/>
      <c r="F3" s="6"/>
      <c r="G3" s="6"/>
      <c r="M3"/>
      <c r="N3" s="23">
        <v>266</v>
      </c>
      <c r="O3" s="24">
        <v>0.48571653847921026</v>
      </c>
      <c r="P3"/>
      <c r="R3" s="22">
        <v>129840</v>
      </c>
      <c r="S3" s="6">
        <v>11.138721719976772</v>
      </c>
      <c r="T3">
        <v>13.138721719976772</v>
      </c>
      <c r="U3" s="6">
        <v>15.138721719976772</v>
      </c>
      <c r="AA3"/>
      <c r="AB3"/>
    </row>
    <row r="4" spans="1:28" x14ac:dyDescent="0.2">
      <c r="E4" s="6"/>
      <c r="F4" s="6"/>
      <c r="G4" s="6"/>
      <c r="M4"/>
      <c r="N4"/>
      <c r="O4"/>
      <c r="P4"/>
      <c r="R4"/>
      <c r="T4"/>
      <c r="AA4"/>
      <c r="AB4"/>
    </row>
    <row r="5" spans="1:28" x14ac:dyDescent="0.2">
      <c r="E5" s="6"/>
      <c r="F5" s="6"/>
      <c r="G5" s="6"/>
      <c r="M5"/>
      <c r="N5"/>
      <c r="O5"/>
      <c r="P5"/>
      <c r="R5"/>
      <c r="T5"/>
      <c r="AA5"/>
      <c r="AB5"/>
    </row>
    <row r="6" spans="1:28" x14ac:dyDescent="0.2">
      <c r="M6"/>
      <c r="N6"/>
      <c r="O6"/>
      <c r="P6"/>
      <c r="R6"/>
      <c r="T6"/>
      <c r="AA6"/>
      <c r="AB6"/>
    </row>
    <row r="7" spans="1:28" x14ac:dyDescent="0.2">
      <c r="M7"/>
      <c r="N7"/>
      <c r="O7"/>
      <c r="P7"/>
      <c r="R7"/>
      <c r="T7"/>
      <c r="AA7"/>
      <c r="AB7"/>
    </row>
    <row r="8" spans="1:28" x14ac:dyDescent="0.2">
      <c r="M8"/>
      <c r="N8"/>
      <c r="O8"/>
      <c r="P8"/>
      <c r="R8"/>
      <c r="T8"/>
      <c r="AA8"/>
      <c r="AB8"/>
    </row>
    <row r="9" spans="1:28" x14ac:dyDescent="0.2">
      <c r="M9"/>
      <c r="N9"/>
      <c r="O9"/>
      <c r="P9"/>
      <c r="R9"/>
      <c r="T9"/>
      <c r="AA9"/>
      <c r="AB9"/>
    </row>
    <row r="10" spans="1:28" x14ac:dyDescent="0.2">
      <c r="M10"/>
      <c r="N10"/>
      <c r="O10"/>
      <c r="P10"/>
      <c r="R10"/>
      <c r="T10"/>
      <c r="AA10"/>
      <c r="AB10"/>
    </row>
    <row r="11" spans="1:28" x14ac:dyDescent="0.2">
      <c r="M11"/>
      <c r="N11"/>
      <c r="O11"/>
      <c r="P11"/>
      <c r="R11"/>
      <c r="T11"/>
      <c r="AA11"/>
      <c r="AB11"/>
    </row>
    <row r="12" spans="1:28" x14ac:dyDescent="0.2">
      <c r="M12"/>
      <c r="N12"/>
      <c r="O12"/>
      <c r="P12"/>
      <c r="R12"/>
      <c r="T12"/>
      <c r="AA12"/>
      <c r="AB12"/>
    </row>
    <row r="13" spans="1:28" x14ac:dyDescent="0.2">
      <c r="M13"/>
      <c r="N13"/>
      <c r="O13"/>
      <c r="P13"/>
      <c r="R13"/>
      <c r="T13"/>
      <c r="AA13"/>
      <c r="AB13"/>
    </row>
    <row r="14" spans="1:28" x14ac:dyDescent="0.2">
      <c r="M14"/>
      <c r="N14"/>
      <c r="O14"/>
      <c r="P14"/>
      <c r="R14"/>
      <c r="T14"/>
      <c r="AA14"/>
      <c r="AB14"/>
    </row>
    <row r="15" spans="1:28" x14ac:dyDescent="0.2">
      <c r="M15"/>
      <c r="N15"/>
      <c r="O15"/>
      <c r="R15"/>
      <c r="T15"/>
      <c r="AA15"/>
      <c r="AB15"/>
    </row>
    <row r="16" spans="1:28" x14ac:dyDescent="0.2">
      <c r="M16"/>
      <c r="N16"/>
      <c r="O16"/>
      <c r="R16"/>
      <c r="T16"/>
    </row>
    <row r="17" spans="13:20" x14ac:dyDescent="0.2">
      <c r="M17"/>
      <c r="N17"/>
      <c r="O17"/>
      <c r="R17"/>
      <c r="T17"/>
    </row>
    <row r="18" spans="13:20" x14ac:dyDescent="0.2">
      <c r="M18"/>
      <c r="N18"/>
      <c r="O18"/>
      <c r="R18"/>
      <c r="T18"/>
    </row>
    <row r="19" spans="13:20" x14ac:dyDescent="0.2">
      <c r="M19"/>
      <c r="N19"/>
      <c r="O19"/>
      <c r="R19"/>
      <c r="T19"/>
    </row>
    <row r="20" spans="13:20" x14ac:dyDescent="0.2">
      <c r="M20"/>
      <c r="N20"/>
      <c r="O20"/>
      <c r="R20"/>
      <c r="T20"/>
    </row>
    <row r="21" spans="13:20" x14ac:dyDescent="0.2">
      <c r="M21"/>
      <c r="R21"/>
      <c r="T21"/>
    </row>
    <row r="22" spans="13:20" x14ac:dyDescent="0.2">
      <c r="M22"/>
      <c r="R22"/>
      <c r="T22"/>
    </row>
    <row r="23" spans="13:20" x14ac:dyDescent="0.2">
      <c r="M23"/>
      <c r="R23"/>
      <c r="T23"/>
    </row>
    <row r="24" spans="13:20" x14ac:dyDescent="0.2">
      <c r="M24"/>
      <c r="R24"/>
      <c r="T24"/>
    </row>
    <row r="25" spans="13:20" x14ac:dyDescent="0.2">
      <c r="M25"/>
      <c r="R25"/>
      <c r="T25"/>
    </row>
    <row r="26" spans="13:20" x14ac:dyDescent="0.2">
      <c r="M26"/>
      <c r="R26"/>
      <c r="T26"/>
    </row>
    <row r="27" spans="13:20" x14ac:dyDescent="0.2">
      <c r="M27"/>
      <c r="R27"/>
      <c r="T27"/>
    </row>
    <row r="28" spans="13:20" x14ac:dyDescent="0.2">
      <c r="M28"/>
      <c r="R28"/>
      <c r="T28"/>
    </row>
    <row r="29" spans="13:20" x14ac:dyDescent="0.2">
      <c r="M29"/>
      <c r="R29"/>
      <c r="T29"/>
    </row>
    <row r="30" spans="13:20" x14ac:dyDescent="0.2">
      <c r="M30"/>
      <c r="R30"/>
      <c r="T30"/>
    </row>
    <row r="31" spans="13:20" x14ac:dyDescent="0.2">
      <c r="R31"/>
      <c r="T31"/>
    </row>
    <row r="32" spans="13: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E0312AC9-9860-E941-8BDB-5B34E69BCC64}"/>
  </hyperlinks>
  <pageMargins left="0.75" right="0.75" top="1" bottom="1" header="0.5" footer="0.5"/>
  <pageSetup orientation="portrait" horizontalDpi="4294967292" verticalDpi="429496729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E53B0-BC3A-E04A-A627-6A40FD3A018F}">
  <sheetPr>
    <tabColor rgb="FF0000FF"/>
  </sheetPr>
  <dimension ref="A1:AB200"/>
  <sheetViews>
    <sheetView zoomScale="62" workbookViewId="0">
      <selection activeCell="S24" sqref="S24"/>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79</v>
      </c>
      <c r="B2" s="12">
        <v>160.22999999999999</v>
      </c>
      <c r="C2" s="12">
        <v>-56.67</v>
      </c>
      <c r="D2" s="10" t="s">
        <v>76</v>
      </c>
      <c r="E2" s="6"/>
      <c r="F2" s="6"/>
      <c r="G2" s="6"/>
      <c r="L2">
        <v>396</v>
      </c>
      <c r="M2">
        <v>3.81</v>
      </c>
      <c r="N2">
        <v>402</v>
      </c>
      <c r="O2" s="24"/>
      <c r="P2"/>
      <c r="Q2" s="1"/>
      <c r="R2" s="29">
        <v>115910</v>
      </c>
      <c r="T2">
        <v>5.46</v>
      </c>
      <c r="V2" s="6" t="s">
        <v>78</v>
      </c>
      <c r="W2" s="13" t="s">
        <v>77</v>
      </c>
      <c r="Y2" s="6" t="s">
        <v>80</v>
      </c>
      <c r="Z2">
        <v>-3912</v>
      </c>
      <c r="AA2"/>
      <c r="AB2"/>
    </row>
    <row r="3" spans="1:28" x14ac:dyDescent="0.2">
      <c r="E3" s="6"/>
      <c r="F3" s="6"/>
      <c r="G3" s="6"/>
      <c r="L3">
        <v>401</v>
      </c>
      <c r="M3">
        <v>2.9</v>
      </c>
      <c r="N3">
        <v>406</v>
      </c>
      <c r="O3" s="24"/>
      <c r="P3"/>
      <c r="Q3" s="1"/>
      <c r="R3" s="29">
        <v>116470</v>
      </c>
      <c r="T3">
        <v>5.03</v>
      </c>
      <c r="AA3"/>
      <c r="AB3"/>
    </row>
    <row r="4" spans="1:28" x14ac:dyDescent="0.2">
      <c r="E4" s="6"/>
      <c r="F4" s="6"/>
      <c r="G4" s="6"/>
      <c r="L4">
        <v>406</v>
      </c>
      <c r="M4">
        <v>3.06</v>
      </c>
      <c r="N4">
        <v>410</v>
      </c>
      <c r="O4"/>
      <c r="P4"/>
      <c r="Q4" s="1"/>
      <c r="R4" s="29">
        <v>117040</v>
      </c>
      <c r="T4">
        <v>5.7</v>
      </c>
      <c r="AA4"/>
      <c r="AB4"/>
    </row>
    <row r="5" spans="1:28" x14ac:dyDescent="0.2">
      <c r="E5" s="6"/>
      <c r="F5" s="6"/>
      <c r="G5" s="6"/>
      <c r="L5">
        <v>411</v>
      </c>
      <c r="M5">
        <v>2.75</v>
      </c>
      <c r="N5">
        <v>414</v>
      </c>
      <c r="O5"/>
      <c r="P5"/>
      <c r="Q5" s="1"/>
      <c r="R5" s="29">
        <v>117610</v>
      </c>
      <c r="T5">
        <v>5.24</v>
      </c>
      <c r="AA5"/>
      <c r="AB5"/>
    </row>
    <row r="6" spans="1:28" x14ac:dyDescent="0.2">
      <c r="L6">
        <v>416</v>
      </c>
      <c r="M6">
        <v>2.62</v>
      </c>
      <c r="N6">
        <v>420</v>
      </c>
      <c r="O6"/>
      <c r="P6"/>
      <c r="Q6" s="1"/>
      <c r="R6" s="29">
        <v>118460</v>
      </c>
      <c r="T6">
        <v>5.01</v>
      </c>
      <c r="AA6"/>
      <c r="AB6"/>
    </row>
    <row r="7" spans="1:28" x14ac:dyDescent="0.2">
      <c r="L7">
        <v>421</v>
      </c>
      <c r="M7">
        <v>2.65</v>
      </c>
      <c r="N7">
        <v>424</v>
      </c>
      <c r="O7"/>
      <c r="P7"/>
      <c r="Q7" s="1"/>
      <c r="R7" s="29">
        <v>119030</v>
      </c>
      <c r="T7">
        <v>5.13</v>
      </c>
      <c r="AA7"/>
      <c r="AB7"/>
    </row>
    <row r="8" spans="1:28" x14ac:dyDescent="0.2">
      <c r="L8">
        <v>426</v>
      </c>
      <c r="M8">
        <v>2.69</v>
      </c>
      <c r="N8">
        <v>430</v>
      </c>
      <c r="O8"/>
      <c r="P8"/>
      <c r="Q8" s="1"/>
      <c r="R8" s="29">
        <v>119880</v>
      </c>
      <c r="T8">
        <v>5.55</v>
      </c>
      <c r="AA8"/>
      <c r="AB8"/>
    </row>
    <row r="9" spans="1:28" x14ac:dyDescent="0.2">
      <c r="L9">
        <v>431</v>
      </c>
      <c r="M9">
        <v>2.66</v>
      </c>
      <c r="N9">
        <v>434</v>
      </c>
      <c r="O9"/>
      <c r="P9"/>
      <c r="Q9" s="1"/>
      <c r="R9" s="29">
        <v>120450</v>
      </c>
      <c r="T9">
        <v>5.17</v>
      </c>
      <c r="AA9"/>
      <c r="AB9"/>
    </row>
    <row r="10" spans="1:28" x14ac:dyDescent="0.2">
      <c r="L10">
        <v>436</v>
      </c>
      <c r="M10">
        <v>2.77</v>
      </c>
      <c r="N10">
        <v>440</v>
      </c>
      <c r="O10"/>
      <c r="P10"/>
      <c r="Q10" s="1"/>
      <c r="R10" s="29">
        <v>121310</v>
      </c>
      <c r="T10">
        <v>4.87</v>
      </c>
      <c r="AA10"/>
      <c r="AB10"/>
    </row>
    <row r="11" spans="1:28" x14ac:dyDescent="0.2">
      <c r="L11">
        <v>441</v>
      </c>
      <c r="M11">
        <v>2.66</v>
      </c>
      <c r="N11">
        <v>444</v>
      </c>
      <c r="O11"/>
      <c r="P11"/>
      <c r="Q11" s="1"/>
      <c r="R11" s="29">
        <v>121870</v>
      </c>
      <c r="T11">
        <v>5.24</v>
      </c>
      <c r="AA11"/>
      <c r="AB11"/>
    </row>
    <row r="12" spans="1:28" x14ac:dyDescent="0.2">
      <c r="L12">
        <v>446</v>
      </c>
      <c r="M12">
        <v>2.81</v>
      </c>
      <c r="N12">
        <v>450</v>
      </c>
      <c r="O12"/>
      <c r="P12"/>
      <c r="Q12" s="1"/>
      <c r="R12" s="29">
        <v>122730</v>
      </c>
      <c r="T12">
        <v>4.9800000000000004</v>
      </c>
      <c r="AA12"/>
      <c r="AB12"/>
    </row>
    <row r="13" spans="1:28" x14ac:dyDescent="0.2">
      <c r="L13">
        <v>451</v>
      </c>
      <c r="M13">
        <v>2.77</v>
      </c>
      <c r="N13">
        <v>454</v>
      </c>
      <c r="O13"/>
      <c r="P13"/>
      <c r="Q13" s="1"/>
      <c r="R13" s="29">
        <v>123290</v>
      </c>
      <c r="T13">
        <v>4.4000000000000004</v>
      </c>
      <c r="AA13"/>
      <c r="AB13"/>
    </row>
    <row r="14" spans="1:28" x14ac:dyDescent="0.2">
      <c r="L14">
        <v>456</v>
      </c>
      <c r="M14">
        <v>2.84</v>
      </c>
      <c r="N14">
        <v>460</v>
      </c>
      <c r="O14"/>
      <c r="P14"/>
      <c r="Q14" s="1"/>
      <c r="R14" s="29">
        <v>124150</v>
      </c>
      <c r="T14">
        <v>4.25</v>
      </c>
      <c r="AA14"/>
      <c r="AB14"/>
    </row>
    <row r="15" spans="1:28" x14ac:dyDescent="0.2">
      <c r="L15">
        <v>461</v>
      </c>
      <c r="M15">
        <v>2.81</v>
      </c>
      <c r="N15">
        <v>464</v>
      </c>
      <c r="O15"/>
      <c r="Q15" s="1"/>
      <c r="R15" s="29">
        <v>124720</v>
      </c>
      <c r="T15">
        <v>6.07</v>
      </c>
      <c r="AA15"/>
      <c r="AB15"/>
    </row>
    <row r="16" spans="1:28" x14ac:dyDescent="0.2">
      <c r="L16">
        <v>466</v>
      </c>
      <c r="M16">
        <v>2.87</v>
      </c>
      <c r="N16">
        <v>470</v>
      </c>
      <c r="O16"/>
      <c r="Q16" s="1"/>
      <c r="R16" s="29">
        <v>126180</v>
      </c>
      <c r="T16">
        <v>5.36</v>
      </c>
    </row>
    <row r="17" spans="12:20" x14ac:dyDescent="0.2">
      <c r="L17">
        <v>471</v>
      </c>
      <c r="M17">
        <v>3.13</v>
      </c>
      <c r="N17">
        <v>474</v>
      </c>
      <c r="O17"/>
      <c r="Q17" s="1"/>
      <c r="R17" s="29">
        <v>127360</v>
      </c>
      <c r="T17">
        <v>5.84</v>
      </c>
    </row>
    <row r="18" spans="12:20" x14ac:dyDescent="0.2">
      <c r="L18">
        <v>476</v>
      </c>
      <c r="M18">
        <v>3.19</v>
      </c>
      <c r="N18">
        <v>480</v>
      </c>
      <c r="O18"/>
      <c r="Q18" s="1"/>
      <c r="R18" s="29">
        <v>129139.99999999999</v>
      </c>
      <c r="T18">
        <v>5.81</v>
      </c>
    </row>
    <row r="19" spans="12:20" x14ac:dyDescent="0.2">
      <c r="L19">
        <v>481</v>
      </c>
      <c r="M19">
        <v>3.72</v>
      </c>
      <c r="N19">
        <v>484</v>
      </c>
      <c r="O19"/>
      <c r="Q19" s="1"/>
      <c r="R19" s="29">
        <v>130320</v>
      </c>
      <c r="T19">
        <v>3.84</v>
      </c>
    </row>
    <row r="20" spans="12:20" x14ac:dyDescent="0.2">
      <c r="L20">
        <v>486</v>
      </c>
      <c r="M20"/>
      <c r="N20">
        <v>490</v>
      </c>
      <c r="O20"/>
      <c r="Q20" s="1"/>
      <c r="R20" s="29">
        <v>132090</v>
      </c>
      <c r="T20">
        <v>3.34</v>
      </c>
    </row>
    <row r="21" spans="12:20" x14ac:dyDescent="0.2">
      <c r="L21">
        <v>486</v>
      </c>
      <c r="M21">
        <v>4.1399999999999997</v>
      </c>
      <c r="N21">
        <v>494</v>
      </c>
      <c r="Q21" s="1"/>
      <c r="R21" s="29">
        <v>133270</v>
      </c>
      <c r="T21">
        <v>2.78</v>
      </c>
    </row>
    <row r="22" spans="12:20" x14ac:dyDescent="0.2">
      <c r="L22">
        <v>496</v>
      </c>
      <c r="M22">
        <v>4.33</v>
      </c>
      <c r="N22">
        <v>500</v>
      </c>
      <c r="Q22" s="1"/>
      <c r="R22" s="29">
        <v>135040</v>
      </c>
      <c r="T22">
        <v>3.62</v>
      </c>
    </row>
    <row r="23" spans="12:20" x14ac:dyDescent="0.2">
      <c r="L23">
        <v>501</v>
      </c>
      <c r="M23">
        <v>4.5199999999999996</v>
      </c>
      <c r="N23">
        <v>504</v>
      </c>
      <c r="Q23" s="1"/>
      <c r="R23" s="29">
        <v>138930</v>
      </c>
      <c r="T23">
        <v>1.76</v>
      </c>
    </row>
    <row r="24" spans="12:20" x14ac:dyDescent="0.2">
      <c r="M24"/>
      <c r="R24" s="29"/>
      <c r="T24"/>
    </row>
    <row r="25" spans="12:20" x14ac:dyDescent="0.2">
      <c r="M25"/>
      <c r="R25" s="29"/>
      <c r="T25"/>
    </row>
    <row r="26" spans="12:20" x14ac:dyDescent="0.2">
      <c r="M26"/>
      <c r="R26" s="29"/>
      <c r="T26"/>
    </row>
    <row r="27" spans="12:20" x14ac:dyDescent="0.2">
      <c r="M27"/>
      <c r="R27" s="29"/>
      <c r="T27"/>
    </row>
    <row r="28" spans="12:20" x14ac:dyDescent="0.2">
      <c r="M28"/>
      <c r="R28"/>
      <c r="T28"/>
    </row>
    <row r="29" spans="12:20" x14ac:dyDescent="0.2">
      <c r="M29"/>
      <c r="R29"/>
      <c r="T29"/>
    </row>
    <row r="30" spans="12:20" x14ac:dyDescent="0.2">
      <c r="M30"/>
      <c r="R30"/>
      <c r="T30"/>
    </row>
    <row r="31" spans="12:20" x14ac:dyDescent="0.2">
      <c r="R31"/>
      <c r="T31"/>
    </row>
    <row r="32" spans="12:20" x14ac:dyDescent="0.2">
      <c r="R32"/>
      <c r="T32"/>
    </row>
    <row r="33" spans="18:20" x14ac:dyDescent="0.2">
      <c r="R33"/>
      <c r="T33"/>
    </row>
    <row r="34" spans="18:20" x14ac:dyDescent="0.2">
      <c r="R34"/>
      <c r="T34"/>
    </row>
    <row r="35" spans="18:20" x14ac:dyDescent="0.2">
      <c r="R35"/>
      <c r="T35"/>
    </row>
    <row r="36" spans="18:20" x14ac:dyDescent="0.2">
      <c r="R36"/>
      <c r="T36"/>
    </row>
    <row r="37" spans="18:20" x14ac:dyDescent="0.2">
      <c r="R37"/>
      <c r="T37"/>
    </row>
    <row r="38" spans="18:20" x14ac:dyDescent="0.2">
      <c r="R38"/>
      <c r="T38"/>
    </row>
    <row r="39" spans="18:20" x14ac:dyDescent="0.2">
      <c r="R39"/>
      <c r="T39"/>
    </row>
    <row r="40" spans="18:20" x14ac:dyDescent="0.2">
      <c r="R40"/>
      <c r="T40"/>
    </row>
    <row r="41" spans="18:20" x14ac:dyDescent="0.2">
      <c r="R41"/>
      <c r="T41"/>
    </row>
    <row r="42" spans="18:20" x14ac:dyDescent="0.2">
      <c r="R42"/>
      <c r="T42"/>
    </row>
    <row r="43" spans="18:20" x14ac:dyDescent="0.2">
      <c r="R43"/>
      <c r="T43"/>
    </row>
    <row r="44" spans="18:20" x14ac:dyDescent="0.2">
      <c r="R44"/>
      <c r="T44"/>
    </row>
    <row r="45" spans="18:20" x14ac:dyDescent="0.2">
      <c r="R45"/>
      <c r="T45"/>
    </row>
    <row r="46" spans="18:20" x14ac:dyDescent="0.2">
      <c r="R46"/>
      <c r="T46"/>
    </row>
    <row r="47" spans="18:20" x14ac:dyDescent="0.2">
      <c r="R47"/>
      <c r="T47"/>
    </row>
    <row r="48" spans="18: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345479A4-801B-4246-914C-8065F11B1304}"/>
  </hyperlinks>
  <pageMargins left="0.75" right="0.75" top="1" bottom="1" header="0.5" footer="0.5"/>
  <pageSetup orientation="portrait" horizontalDpi="4294967292" verticalDpi="429496729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DFCD6-F0FC-1A46-8F80-C3E4EE86EB1F}">
  <sheetPr>
    <tabColor rgb="FF0000FF"/>
  </sheetPr>
  <dimension ref="A1:AB200"/>
  <sheetViews>
    <sheetView zoomScale="62" workbookViewId="0">
      <selection activeCell="Q15" sqref="Q15"/>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83</v>
      </c>
      <c r="B2" s="12">
        <v>-87.118889999999993</v>
      </c>
      <c r="C2" s="12">
        <v>29.001670000000001</v>
      </c>
      <c r="D2" s="10" t="s">
        <v>20</v>
      </c>
      <c r="E2" s="6"/>
      <c r="F2" s="6"/>
      <c r="G2" s="6"/>
      <c r="L2">
        <v>1405</v>
      </c>
      <c r="M2">
        <v>-0.747</v>
      </c>
      <c r="N2">
        <v>1405</v>
      </c>
      <c r="O2">
        <v>4.266</v>
      </c>
      <c r="P2">
        <v>26.87</v>
      </c>
      <c r="R2">
        <v>114000</v>
      </c>
      <c r="T2">
        <v>26.87</v>
      </c>
      <c r="V2" s="6" t="s">
        <v>81</v>
      </c>
      <c r="W2" s="13" t="s">
        <v>82</v>
      </c>
      <c r="Y2" s="6" t="s">
        <v>84</v>
      </c>
      <c r="Z2">
        <v>-847</v>
      </c>
      <c r="AA2"/>
      <c r="AB2"/>
    </row>
    <row r="3" spans="1:28" x14ac:dyDescent="0.2">
      <c r="E3" s="6"/>
      <c r="F3" s="6"/>
      <c r="G3" s="6"/>
      <c r="L3">
        <v>1410</v>
      </c>
      <c r="M3">
        <v>-0.46899999999999997</v>
      </c>
      <c r="N3">
        <v>1410</v>
      </c>
      <c r="O3">
        <v>4.1079999999999997</v>
      </c>
      <c r="P3">
        <v>26.45</v>
      </c>
      <c r="R3">
        <v>115667</v>
      </c>
      <c r="T3">
        <v>26.45</v>
      </c>
      <c r="AA3"/>
      <c r="AB3"/>
    </row>
    <row r="4" spans="1:28" x14ac:dyDescent="0.2">
      <c r="E4" s="6"/>
      <c r="F4" s="6"/>
      <c r="G4" s="6"/>
      <c r="L4">
        <v>1415</v>
      </c>
      <c r="M4">
        <v>-1.6140000000000001</v>
      </c>
      <c r="N4">
        <v>1415</v>
      </c>
      <c r="O4">
        <v>4.3970000000000002</v>
      </c>
      <c r="P4">
        <v>27.21</v>
      </c>
      <c r="R4">
        <v>117333</v>
      </c>
      <c r="T4">
        <v>27.21</v>
      </c>
      <c r="AA4"/>
      <c r="AB4"/>
    </row>
    <row r="5" spans="1:28" x14ac:dyDescent="0.2">
      <c r="E5" s="6"/>
      <c r="F5" s="6"/>
      <c r="G5" s="6"/>
      <c r="L5">
        <v>1420</v>
      </c>
      <c r="M5">
        <v>-1.32</v>
      </c>
      <c r="N5">
        <v>1420</v>
      </c>
      <c r="O5">
        <v>4.1159999999999997</v>
      </c>
      <c r="P5">
        <v>26.47</v>
      </c>
      <c r="R5">
        <v>119000</v>
      </c>
      <c r="T5">
        <v>26.47</v>
      </c>
      <c r="AA5"/>
      <c r="AB5"/>
    </row>
    <row r="6" spans="1:28" x14ac:dyDescent="0.2">
      <c r="L6">
        <v>1425</v>
      </c>
      <c r="M6">
        <v>-1.474</v>
      </c>
      <c r="N6">
        <v>1425</v>
      </c>
      <c r="O6">
        <v>4.6749999999999998</v>
      </c>
      <c r="P6">
        <v>27.89</v>
      </c>
      <c r="R6">
        <v>119727</v>
      </c>
      <c r="T6">
        <v>27.89</v>
      </c>
      <c r="AA6"/>
      <c r="AB6"/>
    </row>
    <row r="7" spans="1:28" x14ac:dyDescent="0.2">
      <c r="L7">
        <v>1430</v>
      </c>
      <c r="M7">
        <v>-1.369</v>
      </c>
      <c r="N7">
        <v>1430</v>
      </c>
      <c r="O7">
        <v>5.19</v>
      </c>
      <c r="P7">
        <v>29.05</v>
      </c>
      <c r="R7">
        <v>120455</v>
      </c>
      <c r="T7">
        <v>29.05</v>
      </c>
      <c r="AA7"/>
      <c r="AB7"/>
    </row>
    <row r="8" spans="1:28" x14ac:dyDescent="0.2">
      <c r="L8">
        <v>1435</v>
      </c>
      <c r="M8">
        <v>-1.9259999999999999</v>
      </c>
      <c r="N8">
        <v>1435</v>
      </c>
      <c r="O8">
        <v>5.6</v>
      </c>
      <c r="P8">
        <v>29.89</v>
      </c>
      <c r="R8">
        <v>121182</v>
      </c>
      <c r="T8">
        <v>29.89</v>
      </c>
      <c r="AA8"/>
      <c r="AB8"/>
    </row>
    <row r="9" spans="1:28" x14ac:dyDescent="0.2">
      <c r="L9">
        <v>1440</v>
      </c>
      <c r="M9">
        <v>-1.6519999999999999</v>
      </c>
      <c r="N9">
        <v>1440</v>
      </c>
      <c r="O9">
        <v>5.0199999999999996</v>
      </c>
      <c r="P9">
        <v>28.68</v>
      </c>
      <c r="R9">
        <v>121909</v>
      </c>
      <c r="T9">
        <v>28.68</v>
      </c>
      <c r="AA9"/>
      <c r="AB9"/>
    </row>
    <row r="10" spans="1:28" x14ac:dyDescent="0.2">
      <c r="L10">
        <v>1445</v>
      </c>
      <c r="M10">
        <v>-1.6839999999999999</v>
      </c>
      <c r="N10">
        <v>1445</v>
      </c>
      <c r="O10">
        <v>5.09</v>
      </c>
      <c r="P10">
        <v>28.83</v>
      </c>
      <c r="R10">
        <v>122636</v>
      </c>
      <c r="T10">
        <v>28.83</v>
      </c>
      <c r="AA10"/>
      <c r="AB10"/>
    </row>
    <row r="11" spans="1:28" x14ac:dyDescent="0.2">
      <c r="L11">
        <v>1450</v>
      </c>
      <c r="M11">
        <v>-1.6379999999999999</v>
      </c>
      <c r="N11">
        <v>1450</v>
      </c>
      <c r="O11">
        <v>4.9690000000000003</v>
      </c>
      <c r="P11">
        <v>28.56</v>
      </c>
      <c r="R11">
        <v>123364</v>
      </c>
      <c r="T11">
        <v>28.56</v>
      </c>
      <c r="AA11"/>
      <c r="AB11"/>
    </row>
    <row r="12" spans="1:28" x14ac:dyDescent="0.2">
      <c r="L12">
        <v>1455</v>
      </c>
      <c r="M12">
        <v>-1.5389999999999999</v>
      </c>
      <c r="N12">
        <v>1455</v>
      </c>
      <c r="O12">
        <v>4.8129999999999997</v>
      </c>
      <c r="P12">
        <v>28.21</v>
      </c>
      <c r="R12">
        <v>124091</v>
      </c>
      <c r="T12">
        <v>28.21</v>
      </c>
      <c r="AA12"/>
      <c r="AB12"/>
    </row>
    <row r="13" spans="1:28" x14ac:dyDescent="0.2">
      <c r="L13">
        <v>1460</v>
      </c>
      <c r="M13">
        <v>-1.8069999999999999</v>
      </c>
      <c r="N13">
        <v>1460</v>
      </c>
      <c r="O13">
        <v>4.9340000000000002</v>
      </c>
      <c r="P13">
        <v>28.49</v>
      </c>
      <c r="R13">
        <v>124818</v>
      </c>
      <c r="T13">
        <v>28.49</v>
      </c>
      <c r="AA13"/>
      <c r="AB13"/>
    </row>
    <row r="14" spans="1:28" x14ac:dyDescent="0.2">
      <c r="L14">
        <v>1465</v>
      </c>
      <c r="M14">
        <v>-1.9419999999999999</v>
      </c>
      <c r="N14">
        <v>1465</v>
      </c>
      <c r="O14">
        <v>4.9379999999999997</v>
      </c>
      <c r="P14">
        <v>28.49</v>
      </c>
      <c r="R14">
        <v>125545</v>
      </c>
      <c r="T14">
        <v>28.49</v>
      </c>
      <c r="AA14"/>
      <c r="AB14"/>
    </row>
    <row r="15" spans="1:28" x14ac:dyDescent="0.2">
      <c r="L15">
        <v>1470</v>
      </c>
      <c r="M15">
        <v>-1.756</v>
      </c>
      <c r="N15">
        <v>1470</v>
      </c>
      <c r="O15">
        <v>4.593</v>
      </c>
      <c r="P15">
        <v>27.69</v>
      </c>
      <c r="R15">
        <v>126273</v>
      </c>
      <c r="T15">
        <v>27.69</v>
      </c>
      <c r="AA15"/>
      <c r="AB15"/>
    </row>
    <row r="16" spans="1:28" x14ac:dyDescent="0.2">
      <c r="L16">
        <v>1475</v>
      </c>
      <c r="M16">
        <v>-1.8380000000000001</v>
      </c>
      <c r="N16">
        <v>1475</v>
      </c>
      <c r="O16">
        <v>4.2990000000000004</v>
      </c>
      <c r="P16">
        <v>26.96</v>
      </c>
      <c r="R16">
        <v>127000</v>
      </c>
      <c r="T16">
        <v>26.96</v>
      </c>
    </row>
    <row r="17" spans="12:20" x14ac:dyDescent="0.2">
      <c r="L17">
        <v>1480</v>
      </c>
      <c r="M17">
        <v>-1.877</v>
      </c>
      <c r="N17">
        <v>1480</v>
      </c>
      <c r="O17">
        <v>4.59</v>
      </c>
      <c r="P17">
        <v>27.68</v>
      </c>
      <c r="R17">
        <v>127727</v>
      </c>
      <c r="T17">
        <v>27.68</v>
      </c>
    </row>
    <row r="18" spans="12:20" x14ac:dyDescent="0.2">
      <c r="L18">
        <v>1485</v>
      </c>
      <c r="M18">
        <v>-0.86399999999999999</v>
      </c>
      <c r="N18">
        <v>1485</v>
      </c>
      <c r="O18">
        <v>3.8570000000000002</v>
      </c>
      <c r="P18">
        <v>25.75</v>
      </c>
      <c r="R18">
        <v>128455</v>
      </c>
      <c r="T18">
        <v>25.75</v>
      </c>
    </row>
    <row r="19" spans="12:20" x14ac:dyDescent="0.2">
      <c r="L19">
        <v>1490</v>
      </c>
      <c r="M19">
        <v>-0.88800000000000001</v>
      </c>
      <c r="N19">
        <v>1490</v>
      </c>
      <c r="O19">
        <v>4.0220000000000002</v>
      </c>
      <c r="P19">
        <v>26.22</v>
      </c>
      <c r="R19">
        <v>129182</v>
      </c>
      <c r="T19">
        <v>26.22</v>
      </c>
    </row>
    <row r="20" spans="12:20" x14ac:dyDescent="0.2">
      <c r="L20">
        <v>1495</v>
      </c>
      <c r="M20">
        <v>-0.45900000000000002</v>
      </c>
      <c r="N20">
        <v>1495</v>
      </c>
      <c r="O20">
        <v>4.2169999999999996</v>
      </c>
      <c r="P20">
        <v>26.74</v>
      </c>
      <c r="R20">
        <v>129909</v>
      </c>
      <c r="T20">
        <v>26.74</v>
      </c>
    </row>
    <row r="21" spans="12:20" x14ac:dyDescent="0.2">
      <c r="L21">
        <v>1498</v>
      </c>
      <c r="M21">
        <v>-0.98</v>
      </c>
      <c r="N21">
        <v>1498</v>
      </c>
      <c r="O21">
        <v>4.0839999999999996</v>
      </c>
      <c r="P21">
        <v>26.39</v>
      </c>
      <c r="R21">
        <v>130345</v>
      </c>
      <c r="T21">
        <v>26.39</v>
      </c>
    </row>
    <row r="22" spans="12:20" x14ac:dyDescent="0.2">
      <c r="L22">
        <v>1502</v>
      </c>
      <c r="M22">
        <v>0.7</v>
      </c>
      <c r="N22">
        <v>1502</v>
      </c>
      <c r="O22">
        <v>4.2080000000000002</v>
      </c>
      <c r="P22">
        <v>26.72</v>
      </c>
      <c r="R22">
        <v>130927</v>
      </c>
      <c r="T22">
        <v>26.72</v>
      </c>
    </row>
    <row r="23" spans="12:20" x14ac:dyDescent="0.2">
      <c r="L23">
        <v>1505</v>
      </c>
      <c r="M23">
        <v>0.20599999999999999</v>
      </c>
      <c r="N23">
        <v>1505</v>
      </c>
      <c r="O23">
        <v>4.0910000000000002</v>
      </c>
      <c r="P23">
        <v>26.4</v>
      </c>
      <c r="R23">
        <v>131364</v>
      </c>
      <c r="T23">
        <v>26.4</v>
      </c>
    </row>
    <row r="24" spans="12:20" x14ac:dyDescent="0.2">
      <c r="L24">
        <v>1510</v>
      </c>
      <c r="M24">
        <v>0.70899999999999996</v>
      </c>
      <c r="N24">
        <v>1510</v>
      </c>
      <c r="O24">
        <v>3.875</v>
      </c>
      <c r="P24">
        <v>25.8</v>
      </c>
      <c r="R24">
        <v>132091</v>
      </c>
      <c r="T24">
        <v>25.8</v>
      </c>
    </row>
    <row r="25" spans="12:20" x14ac:dyDescent="0.2">
      <c r="L25">
        <v>1515</v>
      </c>
      <c r="M25">
        <v>0.53800000000000003</v>
      </c>
      <c r="N25">
        <v>1515</v>
      </c>
      <c r="O25">
        <v>3.59</v>
      </c>
      <c r="P25">
        <v>24.95</v>
      </c>
      <c r="R25">
        <v>132818</v>
      </c>
      <c r="T25">
        <v>24.95</v>
      </c>
    </row>
    <row r="26" spans="12:20" x14ac:dyDescent="0.2">
      <c r="L26">
        <v>1520</v>
      </c>
      <c r="M26">
        <v>-0.35799999999999998</v>
      </c>
      <c r="N26">
        <v>1520</v>
      </c>
      <c r="O26">
        <v>3.99</v>
      </c>
      <c r="P26">
        <v>26.13</v>
      </c>
      <c r="R26">
        <v>133545</v>
      </c>
      <c r="T26">
        <v>26.13</v>
      </c>
    </row>
    <row r="27" spans="12:20" x14ac:dyDescent="0.2">
      <c r="L27">
        <v>1525</v>
      </c>
      <c r="M27">
        <v>0.71699999999999997</v>
      </c>
      <c r="N27">
        <v>1525</v>
      </c>
      <c r="O27">
        <v>3.694</v>
      </c>
      <c r="P27">
        <v>25.27</v>
      </c>
      <c r="R27">
        <v>134273</v>
      </c>
      <c r="T27">
        <v>25.27</v>
      </c>
    </row>
    <row r="28" spans="12:20" x14ac:dyDescent="0.2">
      <c r="L28">
        <v>1530</v>
      </c>
      <c r="M28">
        <v>1.1879999999999999</v>
      </c>
      <c r="N28">
        <v>1530</v>
      </c>
      <c r="O28">
        <v>3.464</v>
      </c>
      <c r="P28">
        <v>24.56</v>
      </c>
      <c r="R28">
        <v>135000</v>
      </c>
      <c r="T28">
        <v>24.56</v>
      </c>
    </row>
    <row r="29" spans="12:20" x14ac:dyDescent="0.2">
      <c r="L29">
        <v>1535</v>
      </c>
      <c r="M29">
        <v>0.60499999999999998</v>
      </c>
      <c r="N29">
        <v>1535</v>
      </c>
      <c r="O29">
        <v>3.7050000000000001</v>
      </c>
      <c r="P29">
        <v>25.3</v>
      </c>
      <c r="R29">
        <v>135652</v>
      </c>
      <c r="T29">
        <v>25.3</v>
      </c>
    </row>
    <row r="30" spans="12:20" x14ac:dyDescent="0.2">
      <c r="L30">
        <v>1540</v>
      </c>
      <c r="M30">
        <v>0.311</v>
      </c>
      <c r="N30">
        <v>1540</v>
      </c>
      <c r="O30">
        <v>3.6320000000000001</v>
      </c>
      <c r="P30">
        <v>25.08</v>
      </c>
      <c r="R30">
        <v>136304</v>
      </c>
      <c r="T30">
        <v>25.08</v>
      </c>
    </row>
    <row r="31" spans="12:20" x14ac:dyDescent="0.2">
      <c r="L31">
        <v>1545</v>
      </c>
      <c r="M31">
        <v>0.85799999999999998</v>
      </c>
      <c r="N31">
        <v>1545</v>
      </c>
      <c r="O31">
        <v>3.6419999999999999</v>
      </c>
      <c r="P31">
        <v>25.11</v>
      </c>
      <c r="R31">
        <v>136957</v>
      </c>
      <c r="T31">
        <v>25.11</v>
      </c>
    </row>
    <row r="32" spans="12:20" x14ac:dyDescent="0.2">
      <c r="L32">
        <v>1550</v>
      </c>
      <c r="M32">
        <v>0.94399999999999995</v>
      </c>
      <c r="N32">
        <v>1550</v>
      </c>
      <c r="O32">
        <v>3.4729999999999999</v>
      </c>
      <c r="P32">
        <v>24.58</v>
      </c>
      <c r="R32">
        <v>137609</v>
      </c>
      <c r="T32">
        <v>24.58</v>
      </c>
    </row>
    <row r="33" spans="12:20" x14ac:dyDescent="0.2">
      <c r="L33">
        <v>1555</v>
      </c>
      <c r="M33">
        <v>0.92100000000000004</v>
      </c>
      <c r="N33">
        <v>1555</v>
      </c>
      <c r="O33">
        <v>3.649</v>
      </c>
      <c r="P33">
        <v>25.13</v>
      </c>
      <c r="R33">
        <v>138261</v>
      </c>
      <c r="T33">
        <v>25.13</v>
      </c>
    </row>
    <row r="34" spans="12:20" x14ac:dyDescent="0.2">
      <c r="L34">
        <v>1565</v>
      </c>
      <c r="M34">
        <v>0.64300000000000002</v>
      </c>
      <c r="N34">
        <v>1565</v>
      </c>
      <c r="O34">
        <v>3.8610000000000002</v>
      </c>
      <c r="P34">
        <v>25.76</v>
      </c>
      <c r="R34">
        <v>139565</v>
      </c>
      <c r="T34">
        <v>25.76</v>
      </c>
    </row>
    <row r="35" spans="12:20" x14ac:dyDescent="0.2">
      <c r="L35">
        <v>1570</v>
      </c>
      <c r="M35">
        <v>0.73199999999999998</v>
      </c>
      <c r="N35">
        <v>1570</v>
      </c>
      <c r="O35">
        <v>3.722</v>
      </c>
      <c r="P35">
        <v>25.35</v>
      </c>
      <c r="R35">
        <v>140217</v>
      </c>
      <c r="T35">
        <v>25.35</v>
      </c>
    </row>
    <row r="36" spans="12:20" x14ac:dyDescent="0.2">
      <c r="L36">
        <v>1575</v>
      </c>
      <c r="M36">
        <v>0.60299999999999998</v>
      </c>
      <c r="N36">
        <v>1575</v>
      </c>
      <c r="O36">
        <v>3.871</v>
      </c>
      <c r="P36">
        <v>25.79</v>
      </c>
      <c r="R36">
        <v>140870</v>
      </c>
      <c r="T36">
        <v>25.79</v>
      </c>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C7B921D8-D5EC-AE4D-B5FF-D9F8F0DBD649}"/>
  </hyperlinks>
  <pageMargins left="0.75" right="0.75" top="1" bottom="1" header="0.5" footer="0.5"/>
  <pageSetup orientation="portrait" horizontalDpi="4294967292" verticalDpi="4294967292"/>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15A70-A833-7043-A12A-A92A0BF87F71}">
  <sheetPr>
    <tabColor rgb="FF0000FF"/>
  </sheetPr>
  <dimension ref="A1:AB200"/>
  <sheetViews>
    <sheetView topLeftCell="C1" zoomScale="88" workbookViewId="0">
      <selection activeCell="R18" sqref="R18"/>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85</v>
      </c>
      <c r="B2" s="12">
        <v>101.43</v>
      </c>
      <c r="C2" s="12">
        <v>3.2</v>
      </c>
      <c r="D2" s="10" t="s">
        <v>86</v>
      </c>
      <c r="E2" s="6"/>
      <c r="F2" s="6"/>
      <c r="G2" s="6"/>
      <c r="L2"/>
      <c r="M2"/>
      <c r="N2">
        <v>240</v>
      </c>
      <c r="O2"/>
      <c r="P2"/>
      <c r="Q2" s="1"/>
      <c r="R2" s="29">
        <v>115839</v>
      </c>
      <c r="T2">
        <v>19.8</v>
      </c>
      <c r="V2" s="6" t="s">
        <v>88</v>
      </c>
      <c r="W2" s="13" t="s">
        <v>89</v>
      </c>
      <c r="Z2">
        <v>-3120</v>
      </c>
      <c r="AA2"/>
      <c r="AB2"/>
    </row>
    <row r="3" spans="1:28" x14ac:dyDescent="0.2">
      <c r="E3" s="6"/>
      <c r="F3" s="6"/>
      <c r="G3" s="6"/>
      <c r="L3"/>
      <c r="M3"/>
      <c r="N3">
        <v>245</v>
      </c>
      <c r="O3"/>
      <c r="P3"/>
      <c r="Q3" s="1"/>
      <c r="R3" s="29">
        <v>118258</v>
      </c>
      <c r="T3">
        <v>19.87</v>
      </c>
      <c r="AA3"/>
      <c r="AB3"/>
    </row>
    <row r="4" spans="1:28" x14ac:dyDescent="0.2">
      <c r="E4" s="6"/>
      <c r="F4" s="6"/>
      <c r="G4" s="6"/>
      <c r="L4"/>
      <c r="M4"/>
      <c r="N4">
        <v>255</v>
      </c>
      <c r="O4"/>
      <c r="P4"/>
      <c r="Q4" s="1"/>
      <c r="R4" s="29">
        <v>121297</v>
      </c>
      <c r="T4">
        <v>20.52</v>
      </c>
      <c r="AA4"/>
      <c r="AB4"/>
    </row>
    <row r="5" spans="1:28" x14ac:dyDescent="0.2">
      <c r="E5" s="6"/>
      <c r="F5" s="6"/>
      <c r="G5" s="6"/>
      <c r="L5"/>
      <c r="M5"/>
      <c r="N5">
        <v>260</v>
      </c>
      <c r="O5"/>
      <c r="P5"/>
      <c r="Q5" s="1"/>
      <c r="R5" s="29">
        <v>122206</v>
      </c>
      <c r="T5">
        <v>19.670000000000002</v>
      </c>
      <c r="AA5"/>
      <c r="AB5"/>
    </row>
    <row r="6" spans="1:28" x14ac:dyDescent="0.2">
      <c r="L6"/>
      <c r="M6"/>
      <c r="N6">
        <v>265</v>
      </c>
      <c r="O6"/>
      <c r="P6"/>
      <c r="Q6" s="1"/>
      <c r="R6" s="29">
        <v>122987</v>
      </c>
      <c r="T6">
        <v>19.22</v>
      </c>
      <c r="AA6"/>
      <c r="AB6"/>
    </row>
    <row r="7" spans="1:28" x14ac:dyDescent="0.2">
      <c r="L7"/>
      <c r="M7"/>
      <c r="N7">
        <v>270</v>
      </c>
      <c r="O7"/>
      <c r="P7"/>
      <c r="Q7" s="1"/>
      <c r="R7" s="29">
        <v>124057</v>
      </c>
      <c r="T7">
        <v>20.09</v>
      </c>
      <c r="AA7"/>
      <c r="AB7"/>
    </row>
    <row r="8" spans="1:28" x14ac:dyDescent="0.2">
      <c r="L8"/>
      <c r="M8"/>
      <c r="N8">
        <v>285</v>
      </c>
      <c r="O8"/>
      <c r="P8"/>
      <c r="Q8" s="1"/>
      <c r="R8" s="29">
        <v>133885</v>
      </c>
      <c r="T8">
        <v>19.45</v>
      </c>
      <c r="AA8"/>
      <c r="AB8"/>
    </row>
    <row r="9" spans="1:28" x14ac:dyDescent="0.2">
      <c r="L9"/>
      <c r="M9"/>
      <c r="N9">
        <v>290</v>
      </c>
      <c r="O9"/>
      <c r="P9"/>
      <c r="Q9" s="1"/>
      <c r="R9" s="29">
        <v>137228</v>
      </c>
      <c r="T9">
        <v>16.489999999999998</v>
      </c>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DD5771BE-2BB7-6D47-B240-988C269C3868}"/>
  </hyperlinks>
  <pageMargins left="0.75" right="0.75" top="1" bottom="1" header="0.5" footer="0.5"/>
  <pageSetup orientation="portrait" horizontalDpi="4294967292" verticalDpi="429496729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AF4D-4B94-F64B-BF50-1916706CC669}">
  <sheetPr>
    <tabColor rgb="FF0000FF"/>
  </sheetPr>
  <dimension ref="A1:AB200"/>
  <sheetViews>
    <sheetView tabSelected="1" zoomScale="62" workbookViewId="0">
      <selection activeCell="N20" sqref="N20"/>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87</v>
      </c>
      <c r="B2" s="12">
        <v>96.08</v>
      </c>
      <c r="C2" s="12">
        <v>0.1</v>
      </c>
      <c r="D2" s="10" t="s">
        <v>86</v>
      </c>
      <c r="E2" s="6"/>
      <c r="F2" s="6"/>
      <c r="G2" s="6"/>
      <c r="L2"/>
      <c r="M2"/>
      <c r="N2">
        <v>271</v>
      </c>
      <c r="O2"/>
      <c r="P2"/>
      <c r="R2">
        <v>117.39100000000001</v>
      </c>
      <c r="T2">
        <v>24.61</v>
      </c>
      <c r="V2" s="6" t="s">
        <v>88</v>
      </c>
      <c r="W2" s="13" t="s">
        <v>90</v>
      </c>
      <c r="Z2">
        <v>-3231</v>
      </c>
      <c r="AA2"/>
      <c r="AB2"/>
    </row>
    <row r="3" spans="1:28" x14ac:dyDescent="0.2">
      <c r="E3" s="6"/>
      <c r="F3" s="6"/>
      <c r="G3" s="6"/>
      <c r="L3"/>
      <c r="M3"/>
      <c r="N3">
        <v>281</v>
      </c>
      <c r="O3"/>
      <c r="P3"/>
      <c r="R3">
        <v>120.845</v>
      </c>
      <c r="T3">
        <v>26.34</v>
      </c>
      <c r="AA3"/>
      <c r="AB3"/>
    </row>
    <row r="4" spans="1:28" x14ac:dyDescent="0.2">
      <c r="E4" s="6"/>
      <c r="F4" s="6"/>
      <c r="G4" s="6"/>
      <c r="L4"/>
      <c r="M4"/>
      <c r="N4">
        <v>291</v>
      </c>
      <c r="O4"/>
      <c r="P4"/>
      <c r="R4">
        <v>124.51600000000001</v>
      </c>
      <c r="T4">
        <v>24.23</v>
      </c>
      <c r="AA4"/>
      <c r="AB4"/>
    </row>
    <row r="5" spans="1:28" x14ac:dyDescent="0.2">
      <c r="E5" s="6"/>
      <c r="F5" s="6"/>
      <c r="G5" s="6"/>
      <c r="L5"/>
      <c r="M5"/>
      <c r="N5">
        <v>301</v>
      </c>
      <c r="O5"/>
      <c r="P5"/>
      <c r="R5">
        <v>128.51599999999999</v>
      </c>
      <c r="T5">
        <v>23.84</v>
      </c>
      <c r="AA5"/>
      <c r="AB5"/>
    </row>
    <row r="6" spans="1:28" x14ac:dyDescent="0.2">
      <c r="L6"/>
      <c r="M6"/>
      <c r="N6">
        <v>311</v>
      </c>
      <c r="O6"/>
      <c r="P6"/>
      <c r="R6">
        <v>132.37299999999999</v>
      </c>
      <c r="T6">
        <v>23.42</v>
      </c>
      <c r="AA6"/>
      <c r="AB6"/>
    </row>
    <row r="7" spans="1:28" x14ac:dyDescent="0.2">
      <c r="L7"/>
      <c r="M7"/>
      <c r="N7">
        <v>321</v>
      </c>
      <c r="O7"/>
      <c r="P7"/>
      <c r="R7">
        <v>136.84100000000001</v>
      </c>
      <c r="T7">
        <v>21.31</v>
      </c>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3FF6EC83-986A-9340-8975-D4E375F07356}"/>
  </hyperlinks>
  <pageMargins left="0.75" right="0.75" top="1" bottom="1" header="0.5" footer="0.5"/>
  <pageSetup orientation="portrait" horizontalDpi="4294967292" verticalDpi="429496729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42F91-A00C-304E-B8E0-753EC3508EC9}">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92</v>
      </c>
      <c r="B2" s="12">
        <v>104.5</v>
      </c>
      <c r="C2" s="12">
        <v>-1.38</v>
      </c>
      <c r="D2" s="10" t="s">
        <v>86</v>
      </c>
      <c r="E2" s="6"/>
      <c r="F2" s="6"/>
      <c r="G2" s="6"/>
      <c r="L2"/>
      <c r="M2"/>
      <c r="N2">
        <v>195</v>
      </c>
      <c r="R2">
        <v>115.432</v>
      </c>
      <c r="T2">
        <v>23.91</v>
      </c>
      <c r="V2" s="6" t="s">
        <v>88</v>
      </c>
      <c r="W2" s="13" t="s">
        <v>91</v>
      </c>
      <c r="Z2">
        <v>-3621</v>
      </c>
      <c r="AA2"/>
      <c r="AB2"/>
    </row>
    <row r="3" spans="1:28" x14ac:dyDescent="0.2">
      <c r="E3" s="6"/>
      <c r="F3" s="6"/>
      <c r="G3" s="6"/>
      <c r="L3"/>
      <c r="M3"/>
      <c r="N3">
        <v>205</v>
      </c>
      <c r="R3">
        <v>122.10899999999999</v>
      </c>
      <c r="T3">
        <v>23.53</v>
      </c>
      <c r="AA3"/>
      <c r="AB3"/>
    </row>
    <row r="4" spans="1:28" x14ac:dyDescent="0.2">
      <c r="E4" s="6"/>
      <c r="F4" s="6"/>
      <c r="G4" s="6"/>
      <c r="L4"/>
      <c r="M4"/>
      <c r="N4">
        <v>210</v>
      </c>
      <c r="R4">
        <v>124.773</v>
      </c>
      <c r="T4">
        <v>22.92</v>
      </c>
      <c r="AA4"/>
      <c r="AB4"/>
    </row>
    <row r="5" spans="1:28" x14ac:dyDescent="0.2">
      <c r="E5" s="6"/>
      <c r="F5" s="6"/>
      <c r="G5" s="6"/>
      <c r="L5"/>
      <c r="M5"/>
      <c r="N5">
        <v>215</v>
      </c>
      <c r="R5">
        <v>126.515</v>
      </c>
      <c r="T5">
        <v>23.07</v>
      </c>
      <c r="AA5"/>
      <c r="AB5"/>
    </row>
    <row r="6" spans="1:28" x14ac:dyDescent="0.2">
      <c r="L6"/>
      <c r="M6"/>
      <c r="N6">
        <v>220</v>
      </c>
      <c r="R6">
        <v>128.16</v>
      </c>
      <c r="T6">
        <v>22</v>
      </c>
      <c r="AA6"/>
      <c r="AB6"/>
    </row>
    <row r="7" spans="1:28" x14ac:dyDescent="0.2">
      <c r="L7"/>
      <c r="M7"/>
      <c r="N7">
        <v>225</v>
      </c>
      <c r="R7">
        <v>130.35</v>
      </c>
      <c r="T7">
        <v>21.17</v>
      </c>
      <c r="AA7"/>
      <c r="AB7"/>
    </row>
    <row r="8" spans="1:28" x14ac:dyDescent="0.2">
      <c r="L8"/>
      <c r="M8"/>
      <c r="N8">
        <v>230</v>
      </c>
      <c r="R8">
        <v>135.30000000000001</v>
      </c>
      <c r="T8">
        <v>22.93</v>
      </c>
      <c r="AA8"/>
      <c r="AB8"/>
    </row>
    <row r="9" spans="1:28" x14ac:dyDescent="0.2">
      <c r="L9"/>
      <c r="M9"/>
      <c r="N9">
        <v>235</v>
      </c>
      <c r="R9">
        <v>137.85</v>
      </c>
      <c r="T9">
        <v>22.46</v>
      </c>
      <c r="AA9"/>
      <c r="AB9"/>
    </row>
    <row r="10" spans="1:28" x14ac:dyDescent="0.2">
      <c r="L10"/>
      <c r="M10"/>
      <c r="N10">
        <v>240</v>
      </c>
      <c r="R10">
        <v>140.167</v>
      </c>
      <c r="T10">
        <v>22.98</v>
      </c>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F8C13A-22CF-E54D-BC0D-FE3373E02941}">
  <sheetPr>
    <tabColor rgb="FF0000FF"/>
  </sheetPr>
  <dimension ref="A1:AB200"/>
  <sheetViews>
    <sheetView topLeftCell="B1"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93</v>
      </c>
      <c r="B2" s="12">
        <v>83.57</v>
      </c>
      <c r="C2" s="12">
        <v>-3.25</v>
      </c>
      <c r="D2" s="10" t="s">
        <v>86</v>
      </c>
      <c r="E2" s="6"/>
      <c r="F2" s="6"/>
      <c r="G2" s="6"/>
      <c r="L2"/>
      <c r="M2"/>
      <c r="N2" s="25">
        <v>800</v>
      </c>
      <c r="R2" s="25">
        <v>117.389</v>
      </c>
      <c r="T2" s="25">
        <v>19.32</v>
      </c>
      <c r="V2" s="6" t="s">
        <v>88</v>
      </c>
      <c r="W2" s="13" t="s">
        <v>94</v>
      </c>
      <c r="Z2">
        <v>-3159</v>
      </c>
      <c r="AA2"/>
      <c r="AB2"/>
    </row>
    <row r="3" spans="1:28" x14ac:dyDescent="0.2">
      <c r="E3" s="6"/>
      <c r="F3" s="6"/>
      <c r="G3" s="6"/>
      <c r="L3"/>
      <c r="M3"/>
      <c r="N3" s="25">
        <v>810</v>
      </c>
      <c r="R3" s="25">
        <v>120.38</v>
      </c>
      <c r="T3" s="25">
        <v>22.07</v>
      </c>
      <c r="AA3"/>
      <c r="AB3"/>
    </row>
    <row r="4" spans="1:28" x14ac:dyDescent="0.2">
      <c r="E4" s="6"/>
      <c r="F4" s="6"/>
      <c r="G4" s="6"/>
      <c r="L4"/>
      <c r="M4"/>
      <c r="N4" s="25">
        <v>820</v>
      </c>
      <c r="R4" s="25">
        <v>122.92700000000001</v>
      </c>
      <c r="T4" s="25">
        <v>21.82</v>
      </c>
      <c r="AA4"/>
      <c r="AB4"/>
    </row>
    <row r="5" spans="1:28" x14ac:dyDescent="0.2">
      <c r="E5" s="6"/>
      <c r="F5" s="6"/>
      <c r="G5" s="6"/>
      <c r="L5"/>
      <c r="M5"/>
      <c r="N5" s="25">
        <v>830</v>
      </c>
      <c r="R5" s="25">
        <v>124.422</v>
      </c>
      <c r="T5" s="25">
        <v>21.32</v>
      </c>
      <c r="AA5"/>
      <c r="AB5"/>
    </row>
    <row r="6" spans="1:28" x14ac:dyDescent="0.2">
      <c r="L6"/>
      <c r="M6"/>
      <c r="N6" s="25">
        <v>840</v>
      </c>
      <c r="R6" s="25">
        <v>125.837</v>
      </c>
      <c r="T6" s="25">
        <v>20.16</v>
      </c>
      <c r="AA6"/>
      <c r="AB6"/>
    </row>
    <row r="7" spans="1:28" x14ac:dyDescent="0.2">
      <c r="L7"/>
      <c r="M7"/>
      <c r="N7" s="25">
        <v>850</v>
      </c>
      <c r="R7" s="25">
        <v>127.453</v>
      </c>
      <c r="T7" s="25">
        <v>21.85</v>
      </c>
      <c r="AA7"/>
      <c r="AB7"/>
    </row>
    <row r="8" spans="1:28" x14ac:dyDescent="0.2">
      <c r="L8"/>
      <c r="M8"/>
      <c r="N8" s="25">
        <v>860</v>
      </c>
      <c r="R8" s="25">
        <v>129.05199999999999</v>
      </c>
      <c r="T8" s="25">
        <v>21.54</v>
      </c>
      <c r="AA8"/>
      <c r="AB8"/>
    </row>
    <row r="9" spans="1:28" x14ac:dyDescent="0.2">
      <c r="L9"/>
      <c r="M9"/>
      <c r="N9" s="25">
        <v>870</v>
      </c>
      <c r="R9" s="25">
        <v>130.59299999999999</v>
      </c>
      <c r="T9" s="25">
        <v>21.14</v>
      </c>
      <c r="AA9"/>
      <c r="AB9"/>
    </row>
    <row r="10" spans="1:28" x14ac:dyDescent="0.2">
      <c r="L10"/>
      <c r="M10"/>
      <c r="N10" s="25">
        <v>890</v>
      </c>
      <c r="R10" s="25">
        <v>133.53399999999999</v>
      </c>
      <c r="T10" s="25">
        <v>18.54</v>
      </c>
      <c r="AA10"/>
      <c r="AB10"/>
    </row>
    <row r="11" spans="1:28" x14ac:dyDescent="0.2">
      <c r="L11"/>
      <c r="M11"/>
      <c r="N11" s="25">
        <v>920</v>
      </c>
      <c r="R11" s="25">
        <v>137.54599999999999</v>
      </c>
      <c r="T11" s="25">
        <v>19.649999999999999</v>
      </c>
      <c r="AA11"/>
      <c r="AB11"/>
    </row>
    <row r="12" spans="1:28" x14ac:dyDescent="0.2">
      <c r="L12"/>
      <c r="M12"/>
      <c r="N12" s="25">
        <v>930</v>
      </c>
      <c r="R12" s="25">
        <v>138.65199999999999</v>
      </c>
      <c r="T12" s="25">
        <v>18.47</v>
      </c>
      <c r="AA12"/>
      <c r="AB12"/>
    </row>
    <row r="13" spans="1:28" x14ac:dyDescent="0.2">
      <c r="L13"/>
      <c r="M13"/>
      <c r="N13" s="25">
        <v>940</v>
      </c>
      <c r="R13" s="25">
        <v>139.721</v>
      </c>
      <c r="T13" s="25">
        <v>18.38</v>
      </c>
      <c r="AA13"/>
      <c r="AB13"/>
    </row>
    <row r="14" spans="1:28" x14ac:dyDescent="0.2">
      <c r="L14"/>
      <c r="M14"/>
      <c r="N14" s="25">
        <v>950</v>
      </c>
      <c r="R14" s="25">
        <v>140.857</v>
      </c>
      <c r="T14" s="25">
        <v>17.98</v>
      </c>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38BF83D-4703-4A49-8CDB-9AD6D3A1A00E}"/>
  </hyperlinks>
  <pageMargins left="0.75" right="0.75" top="1" bottom="1" header="0.5" footer="0.5"/>
  <pageSetup orientation="portrait" horizontalDpi="4294967292" verticalDpi="429496729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CE2C-52F0-3D45-BFD2-3DC45D58B15F}">
  <sheetPr>
    <tabColor rgb="FF0000FF"/>
  </sheetPr>
  <dimension ref="A1:AB200"/>
  <sheetViews>
    <sheetView zoomScale="91"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95</v>
      </c>
      <c r="B2" s="12">
        <v>110.48</v>
      </c>
      <c r="C2" s="12">
        <v>0.03</v>
      </c>
      <c r="D2" s="10" t="s">
        <v>86</v>
      </c>
      <c r="E2" s="6"/>
      <c r="F2" s="6"/>
      <c r="G2" s="6"/>
      <c r="L2"/>
      <c r="M2"/>
      <c r="N2">
        <v>267</v>
      </c>
      <c r="R2">
        <v>116.6</v>
      </c>
      <c r="T2">
        <v>23.62</v>
      </c>
      <c r="V2" s="6" t="s">
        <v>88</v>
      </c>
      <c r="W2" s="13" t="s">
        <v>96</v>
      </c>
      <c r="Z2">
        <v>-3791</v>
      </c>
      <c r="AA2"/>
      <c r="AB2"/>
    </row>
    <row r="3" spans="1:28" x14ac:dyDescent="0.2">
      <c r="E3" s="6"/>
      <c r="F3" s="6"/>
      <c r="G3" s="6"/>
      <c r="L3"/>
      <c r="M3"/>
      <c r="N3">
        <v>272</v>
      </c>
      <c r="R3">
        <v>119.6</v>
      </c>
      <c r="T3">
        <v>23.65</v>
      </c>
      <c r="AA3"/>
      <c r="AB3"/>
    </row>
    <row r="4" spans="1:28" x14ac:dyDescent="0.2">
      <c r="E4" s="6"/>
      <c r="F4" s="6"/>
      <c r="G4" s="6"/>
      <c r="L4"/>
      <c r="M4"/>
      <c r="N4">
        <v>277</v>
      </c>
      <c r="R4">
        <v>122.371</v>
      </c>
      <c r="T4">
        <v>24.44</v>
      </c>
      <c r="AA4"/>
      <c r="AB4"/>
    </row>
    <row r="5" spans="1:28" x14ac:dyDescent="0.2">
      <c r="E5" s="6"/>
      <c r="F5" s="6"/>
      <c r="G5" s="6"/>
      <c r="L5"/>
      <c r="M5"/>
      <c r="N5">
        <v>282</v>
      </c>
      <c r="R5">
        <v>124.229</v>
      </c>
      <c r="T5">
        <v>23.45</v>
      </c>
      <c r="AA5"/>
      <c r="AB5"/>
    </row>
    <row r="6" spans="1:28" x14ac:dyDescent="0.2">
      <c r="L6"/>
      <c r="M6"/>
      <c r="N6">
        <v>287</v>
      </c>
      <c r="R6">
        <v>126.086</v>
      </c>
      <c r="T6">
        <v>23.89</v>
      </c>
      <c r="AA6"/>
      <c r="AB6"/>
    </row>
    <row r="7" spans="1:28" x14ac:dyDescent="0.2">
      <c r="L7"/>
      <c r="M7"/>
      <c r="N7">
        <v>292</v>
      </c>
      <c r="R7">
        <v>127.943</v>
      </c>
      <c r="T7">
        <v>23.62</v>
      </c>
      <c r="AA7"/>
      <c r="AB7"/>
    </row>
    <row r="8" spans="1:28" x14ac:dyDescent="0.2">
      <c r="L8"/>
      <c r="M8"/>
      <c r="N8">
        <v>297</v>
      </c>
      <c r="R8">
        <v>129.80000000000001</v>
      </c>
      <c r="T8">
        <v>24.07</v>
      </c>
      <c r="AA8"/>
      <c r="AB8"/>
    </row>
    <row r="9" spans="1:28" x14ac:dyDescent="0.2">
      <c r="L9"/>
      <c r="M9"/>
      <c r="N9">
        <v>302</v>
      </c>
      <c r="R9">
        <v>131.65700000000001</v>
      </c>
      <c r="T9">
        <v>22.93</v>
      </c>
      <c r="AA9"/>
      <c r="AB9"/>
    </row>
    <row r="10" spans="1:28" x14ac:dyDescent="0.2">
      <c r="L10"/>
      <c r="M10"/>
      <c r="N10">
        <v>307</v>
      </c>
      <c r="R10">
        <v>133.51400000000001</v>
      </c>
      <c r="T10">
        <v>23.2</v>
      </c>
      <c r="AA10"/>
      <c r="AB10"/>
    </row>
    <row r="11" spans="1:28" x14ac:dyDescent="0.2">
      <c r="L11"/>
      <c r="M11"/>
      <c r="N11">
        <v>312</v>
      </c>
      <c r="R11">
        <v>135.27099999999999</v>
      </c>
      <c r="T11">
        <v>22.93</v>
      </c>
      <c r="AA11"/>
      <c r="AB11"/>
    </row>
    <row r="12" spans="1:28" x14ac:dyDescent="0.2">
      <c r="L12"/>
      <c r="M12"/>
      <c r="N12">
        <v>317</v>
      </c>
      <c r="R12">
        <v>136.62700000000001</v>
      </c>
      <c r="T12">
        <v>21.96</v>
      </c>
      <c r="AA12"/>
      <c r="AB12"/>
    </row>
    <row r="13" spans="1:28" x14ac:dyDescent="0.2">
      <c r="L13"/>
      <c r="M13"/>
      <c r="N13">
        <v>322</v>
      </c>
      <c r="R13">
        <v>137.983</v>
      </c>
      <c r="T13">
        <v>24.77</v>
      </c>
      <c r="AA13"/>
      <c r="AB13"/>
    </row>
    <row r="14" spans="1:28" x14ac:dyDescent="0.2">
      <c r="L14"/>
      <c r="M14"/>
      <c r="N14">
        <v>327</v>
      </c>
      <c r="R14">
        <v>139.339</v>
      </c>
      <c r="T14">
        <v>23.11</v>
      </c>
      <c r="AA14"/>
      <c r="AB14"/>
    </row>
    <row r="15" spans="1:28" x14ac:dyDescent="0.2">
      <c r="L15"/>
      <c r="M15"/>
      <c r="N15">
        <v>332</v>
      </c>
      <c r="R15">
        <v>140.69499999999999</v>
      </c>
      <c r="T15">
        <v>21.99</v>
      </c>
      <c r="AA15"/>
      <c r="AB15"/>
    </row>
    <row r="16" spans="1:28" x14ac:dyDescent="0.2">
      <c r="L16"/>
      <c r="M16"/>
      <c r="N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D15D6BA9-308E-CB46-9AE3-F9CF4A2BC115}"/>
  </hyperlinks>
  <pageMargins left="0.75" right="0.75" top="1" bottom="1" header="0.5" footer="0.5"/>
  <pageSetup orientation="portrait" horizontalDpi="4294967292" verticalDpi="429496729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8929F-3AD9-B645-97B4-28C3EE4E7DA2}">
  <sheetPr>
    <tabColor rgb="FF0000FF"/>
  </sheetPr>
  <dimension ref="A1:AB200"/>
  <sheetViews>
    <sheetView zoomScale="9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97</v>
      </c>
      <c r="B2" s="12">
        <v>86.55</v>
      </c>
      <c r="C2" s="12">
        <v>2.98</v>
      </c>
      <c r="D2" s="10" t="s">
        <v>86</v>
      </c>
      <c r="E2" s="6"/>
      <c r="F2" s="6"/>
      <c r="G2" s="6"/>
      <c r="L2"/>
      <c r="M2"/>
      <c r="N2">
        <v>221</v>
      </c>
      <c r="R2">
        <v>119.553</v>
      </c>
      <c r="T2">
        <v>24.19</v>
      </c>
      <c r="V2" s="6" t="s">
        <v>88</v>
      </c>
      <c r="W2" s="13" t="s">
        <v>98</v>
      </c>
      <c r="Z2">
        <v>-2870</v>
      </c>
      <c r="AA2"/>
      <c r="AB2"/>
    </row>
    <row r="3" spans="1:28" x14ac:dyDescent="0.2">
      <c r="E3" s="6"/>
      <c r="F3" s="6"/>
      <c r="G3" s="6"/>
      <c r="L3"/>
      <c r="M3"/>
      <c r="N3">
        <v>231</v>
      </c>
      <c r="R3">
        <v>122.699</v>
      </c>
      <c r="T3">
        <v>23.7</v>
      </c>
      <c r="AA3"/>
      <c r="AB3"/>
    </row>
    <row r="4" spans="1:28" x14ac:dyDescent="0.2">
      <c r="E4" s="6"/>
      <c r="F4" s="6"/>
      <c r="G4" s="6"/>
      <c r="L4"/>
      <c r="M4"/>
      <c r="N4">
        <v>241</v>
      </c>
      <c r="R4">
        <v>126.233</v>
      </c>
      <c r="T4">
        <v>24.13</v>
      </c>
      <c r="AA4"/>
      <c r="AB4"/>
    </row>
    <row r="5" spans="1:28" x14ac:dyDescent="0.2">
      <c r="E5" s="6"/>
      <c r="F5" s="6"/>
      <c r="G5" s="6"/>
      <c r="L5"/>
      <c r="M5"/>
      <c r="N5">
        <v>251</v>
      </c>
      <c r="R5">
        <v>129.864</v>
      </c>
      <c r="T5">
        <v>25.21</v>
      </c>
      <c r="AA5"/>
      <c r="AB5"/>
    </row>
    <row r="6" spans="1:28" x14ac:dyDescent="0.2">
      <c r="L6"/>
      <c r="M6"/>
      <c r="N6">
        <v>262</v>
      </c>
      <c r="R6">
        <v>135.33000000000001</v>
      </c>
      <c r="T6">
        <v>23.77</v>
      </c>
      <c r="AA6"/>
      <c r="AB6"/>
    </row>
    <row r="7" spans="1:28" x14ac:dyDescent="0.2">
      <c r="L7"/>
      <c r="M7"/>
      <c r="N7">
        <v>272</v>
      </c>
      <c r="R7">
        <v>139.637</v>
      </c>
      <c r="T7">
        <v>23.2</v>
      </c>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02AA7-84E5-F241-A22B-DCB04B4C873C}">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99</v>
      </c>
      <c r="B2" s="12">
        <v>86.48</v>
      </c>
      <c r="C2" s="12">
        <v>0.1</v>
      </c>
      <c r="D2" s="10" t="s">
        <v>86</v>
      </c>
      <c r="E2" s="6"/>
      <c r="F2" s="6"/>
      <c r="G2" s="6"/>
      <c r="L2"/>
      <c r="M2"/>
      <c r="N2">
        <v>800</v>
      </c>
      <c r="R2">
        <v>116.545</v>
      </c>
      <c r="T2">
        <v>22.37</v>
      </c>
      <c r="V2" s="6" t="s">
        <v>88</v>
      </c>
      <c r="W2" s="13" t="s">
        <v>100</v>
      </c>
      <c r="Z2">
        <v>-2740</v>
      </c>
      <c r="AA2"/>
      <c r="AB2"/>
    </row>
    <row r="3" spans="1:28" x14ac:dyDescent="0.2">
      <c r="E3" s="6"/>
      <c r="F3" s="6"/>
      <c r="G3" s="6"/>
      <c r="L3"/>
      <c r="M3"/>
      <c r="N3">
        <v>819</v>
      </c>
      <c r="R3">
        <v>121.58799999999999</v>
      </c>
      <c r="T3">
        <v>22.47</v>
      </c>
      <c r="AA3"/>
      <c r="AB3"/>
    </row>
    <row r="4" spans="1:28" x14ac:dyDescent="0.2">
      <c r="E4" s="6"/>
      <c r="F4" s="6"/>
      <c r="G4" s="6"/>
      <c r="L4"/>
      <c r="M4"/>
      <c r="N4">
        <v>839</v>
      </c>
      <c r="R4">
        <v>125.521</v>
      </c>
      <c r="T4">
        <v>22.58</v>
      </c>
      <c r="AA4"/>
      <c r="AB4"/>
    </row>
    <row r="5" spans="1:28" x14ac:dyDescent="0.2">
      <c r="E5" s="6"/>
      <c r="F5" s="6"/>
      <c r="G5" s="6"/>
      <c r="L5"/>
      <c r="M5"/>
      <c r="N5">
        <v>859</v>
      </c>
      <c r="R5">
        <v>129.24299999999999</v>
      </c>
      <c r="T5">
        <v>22.34</v>
      </c>
      <c r="AA5"/>
      <c r="AB5"/>
    </row>
    <row r="6" spans="1:28" x14ac:dyDescent="0.2">
      <c r="L6"/>
      <c r="M6"/>
      <c r="N6">
        <v>919</v>
      </c>
      <c r="R6">
        <v>140.31700000000001</v>
      </c>
      <c r="T6">
        <v>19.97</v>
      </c>
      <c r="AA6"/>
      <c r="AB6"/>
    </row>
    <row r="7" spans="1:28" x14ac:dyDescent="0.2">
      <c r="L7"/>
      <c r="M7"/>
      <c r="N7"/>
      <c r="O7"/>
      <c r="P7"/>
      <c r="R7"/>
      <c r="T7"/>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9AF6A-8FEA-5442-B94B-B118EB034620}">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102</v>
      </c>
      <c r="B2" s="12">
        <v>85.25</v>
      </c>
      <c r="C2" s="12">
        <v>7.28</v>
      </c>
      <c r="D2" s="10" t="s">
        <v>86</v>
      </c>
      <c r="E2" s="6"/>
      <c r="F2" s="6"/>
      <c r="G2" s="6"/>
      <c r="L2"/>
      <c r="M2"/>
      <c r="N2">
        <v>370</v>
      </c>
      <c r="R2">
        <v>118.765</v>
      </c>
      <c r="T2">
        <v>23.3</v>
      </c>
      <c r="V2" s="6" t="s">
        <v>88</v>
      </c>
      <c r="W2" s="13" t="s">
        <v>101</v>
      </c>
      <c r="Z2">
        <v>-2164</v>
      </c>
      <c r="AA2"/>
      <c r="AB2"/>
    </row>
    <row r="3" spans="1:28" x14ac:dyDescent="0.2">
      <c r="E3" s="6"/>
      <c r="F3" s="6"/>
      <c r="G3" s="6"/>
      <c r="L3"/>
      <c r="M3"/>
      <c r="N3">
        <v>380</v>
      </c>
      <c r="R3">
        <v>123.622</v>
      </c>
      <c r="T3">
        <v>23.72</v>
      </c>
      <c r="AA3"/>
      <c r="AB3"/>
    </row>
    <row r="4" spans="1:28" x14ac:dyDescent="0.2">
      <c r="E4" s="6"/>
      <c r="F4" s="6"/>
      <c r="G4" s="6"/>
      <c r="L4"/>
      <c r="M4"/>
      <c r="N4">
        <v>390</v>
      </c>
      <c r="R4">
        <v>127.56699999999999</v>
      </c>
      <c r="T4">
        <v>24.25</v>
      </c>
      <c r="AA4"/>
      <c r="AB4"/>
    </row>
    <row r="5" spans="1:28" x14ac:dyDescent="0.2">
      <c r="E5" s="6"/>
      <c r="F5" s="6"/>
      <c r="G5" s="6"/>
      <c r="L5"/>
      <c r="M5"/>
      <c r="N5">
        <v>400</v>
      </c>
      <c r="R5">
        <v>131.28700000000001</v>
      </c>
      <c r="T5">
        <v>25.42</v>
      </c>
      <c r="AA5"/>
      <c r="AB5"/>
    </row>
    <row r="6" spans="1:28" x14ac:dyDescent="0.2">
      <c r="L6"/>
      <c r="M6"/>
      <c r="N6">
        <v>410</v>
      </c>
      <c r="R6">
        <v>135.05799999999999</v>
      </c>
      <c r="T6">
        <v>24.15</v>
      </c>
      <c r="AA6"/>
      <c r="AB6"/>
    </row>
    <row r="7" spans="1:28" x14ac:dyDescent="0.2">
      <c r="L7"/>
      <c r="M7"/>
      <c r="N7">
        <v>420</v>
      </c>
      <c r="R7">
        <v>139.001</v>
      </c>
      <c r="T7">
        <v>23.73</v>
      </c>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35E6-436F-3049-9DC3-932D7D9B9551}">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105</v>
      </c>
      <c r="B2" s="12">
        <v>106.95</v>
      </c>
      <c r="C2" s="12">
        <v>-6.63</v>
      </c>
      <c r="D2" s="10" t="s">
        <v>86</v>
      </c>
      <c r="E2" s="6"/>
      <c r="F2" s="6"/>
      <c r="G2" s="6"/>
      <c r="L2"/>
      <c r="M2"/>
      <c r="N2">
        <v>256</v>
      </c>
      <c r="R2">
        <v>117.696</v>
      </c>
      <c r="T2">
        <v>22.99</v>
      </c>
      <c r="V2" s="6" t="s">
        <v>88</v>
      </c>
      <c r="W2" s="13" t="s">
        <v>106</v>
      </c>
      <c r="Z2">
        <v>-3175</v>
      </c>
      <c r="AA2"/>
      <c r="AB2"/>
    </row>
    <row r="3" spans="1:28" x14ac:dyDescent="0.2">
      <c r="E3" s="6"/>
      <c r="F3" s="6"/>
      <c r="G3" s="6"/>
      <c r="L3"/>
      <c r="M3"/>
      <c r="N3">
        <v>261</v>
      </c>
      <c r="R3">
        <v>120.44799999999999</v>
      </c>
      <c r="T3">
        <v>23.93</v>
      </c>
      <c r="AA3"/>
      <c r="AB3"/>
    </row>
    <row r="4" spans="1:28" x14ac:dyDescent="0.2">
      <c r="E4" s="6"/>
      <c r="F4" s="6"/>
      <c r="G4" s="6"/>
      <c r="L4"/>
      <c r="M4"/>
      <c r="N4">
        <v>266</v>
      </c>
      <c r="R4">
        <v>122.583</v>
      </c>
      <c r="T4">
        <v>23.19</v>
      </c>
      <c r="AA4"/>
      <c r="AB4"/>
    </row>
    <row r="5" spans="1:28" x14ac:dyDescent="0.2">
      <c r="E5" s="6"/>
      <c r="F5" s="6"/>
      <c r="G5" s="6"/>
      <c r="L5"/>
      <c r="M5"/>
      <c r="N5">
        <v>271</v>
      </c>
      <c r="R5">
        <v>124.411</v>
      </c>
      <c r="T5">
        <v>22.54</v>
      </c>
      <c r="AA5"/>
      <c r="AB5"/>
    </row>
    <row r="6" spans="1:28" x14ac:dyDescent="0.2">
      <c r="L6"/>
      <c r="M6"/>
      <c r="N6">
        <v>276</v>
      </c>
      <c r="R6">
        <v>125.935</v>
      </c>
      <c r="T6">
        <v>24.28</v>
      </c>
      <c r="AA6"/>
      <c r="AB6"/>
    </row>
    <row r="7" spans="1:28" x14ac:dyDescent="0.2">
      <c r="L7"/>
      <c r="M7"/>
      <c r="N7">
        <v>281</v>
      </c>
      <c r="R7">
        <v>127.5</v>
      </c>
      <c r="T7">
        <v>23.8</v>
      </c>
      <c r="AA7"/>
      <c r="AB7"/>
    </row>
    <row r="8" spans="1:28" x14ac:dyDescent="0.2">
      <c r="L8"/>
      <c r="M8"/>
      <c r="N8">
        <v>286</v>
      </c>
      <c r="R8">
        <v>129.24799999999999</v>
      </c>
      <c r="T8">
        <v>24.03</v>
      </c>
      <c r="AA8"/>
      <c r="AB8"/>
    </row>
    <row r="9" spans="1:28" x14ac:dyDescent="0.2">
      <c r="L9"/>
      <c r="M9"/>
      <c r="N9">
        <v>291</v>
      </c>
      <c r="R9">
        <v>131.191</v>
      </c>
      <c r="T9">
        <v>22.37</v>
      </c>
      <c r="AA9"/>
      <c r="AB9"/>
    </row>
    <row r="10" spans="1:28" x14ac:dyDescent="0.2">
      <c r="L10"/>
      <c r="M10"/>
      <c r="N10">
        <v>296</v>
      </c>
      <c r="R10">
        <v>133.40899999999999</v>
      </c>
      <c r="T10">
        <v>21.96</v>
      </c>
      <c r="AA10"/>
      <c r="AB10"/>
    </row>
    <row r="11" spans="1:28" x14ac:dyDescent="0.2">
      <c r="L11"/>
      <c r="M11"/>
      <c r="N11">
        <v>306</v>
      </c>
      <c r="R11">
        <v>138.38200000000001</v>
      </c>
      <c r="T11">
        <v>23.09</v>
      </c>
      <c r="AA11"/>
      <c r="AB11"/>
    </row>
    <row r="12" spans="1:28" x14ac:dyDescent="0.2">
      <c r="L12"/>
      <c r="M12"/>
      <c r="N12">
        <v>311</v>
      </c>
      <c r="R12">
        <v>140.93799999999999</v>
      </c>
      <c r="T12">
        <v>22.97</v>
      </c>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C2BFE4-E708-3644-ADB3-D9E4BCE4B5B4}">
  <sheetPr>
    <tabColor rgb="FF0000FF"/>
  </sheetPr>
  <dimension ref="A1:AB200"/>
  <sheetViews>
    <sheetView zoomScale="62" workbookViewId="0">
      <selection activeCell="B3" sqref="B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104</v>
      </c>
      <c r="B2" s="12">
        <v>77.569999999999993</v>
      </c>
      <c r="C2" s="12">
        <v>-16.45</v>
      </c>
      <c r="D2" s="10" t="s">
        <v>86</v>
      </c>
      <c r="E2" s="6"/>
      <c r="F2" s="6"/>
      <c r="G2" s="6"/>
      <c r="L2"/>
      <c r="M2"/>
      <c r="N2">
        <v>180</v>
      </c>
      <c r="R2">
        <v>115.70399999999999</v>
      </c>
      <c r="T2">
        <v>17.82</v>
      </c>
      <c r="V2" s="6" t="s">
        <v>88</v>
      </c>
      <c r="W2" s="13" t="s">
        <v>103</v>
      </c>
      <c r="Z2">
        <v>-2734</v>
      </c>
      <c r="AA2"/>
      <c r="AB2"/>
    </row>
    <row r="3" spans="1:28" x14ac:dyDescent="0.2">
      <c r="E3" s="6"/>
      <c r="F3" s="6"/>
      <c r="G3" s="6"/>
      <c r="L3"/>
      <c r="M3"/>
      <c r="N3">
        <v>185</v>
      </c>
      <c r="R3">
        <v>120.31399999999999</v>
      </c>
      <c r="T3">
        <v>17.91</v>
      </c>
      <c r="AA3"/>
      <c r="AB3"/>
    </row>
    <row r="4" spans="1:28" x14ac:dyDescent="0.2">
      <c r="E4" s="6"/>
      <c r="F4" s="6"/>
      <c r="G4" s="6"/>
      <c r="L4"/>
      <c r="M4"/>
      <c r="N4">
        <v>190</v>
      </c>
      <c r="R4">
        <v>128.548</v>
      </c>
      <c r="T4">
        <v>14.93</v>
      </c>
      <c r="AA4"/>
      <c r="AB4"/>
    </row>
    <row r="5" spans="1:28" x14ac:dyDescent="0.2">
      <c r="E5" s="6"/>
      <c r="F5" s="6"/>
      <c r="G5" s="6"/>
      <c r="L5"/>
      <c r="M5"/>
      <c r="N5">
        <v>195</v>
      </c>
      <c r="R5">
        <v>134.34800000000001</v>
      </c>
      <c r="T5">
        <v>14.53</v>
      </c>
      <c r="AA5"/>
      <c r="AB5"/>
    </row>
    <row r="6" spans="1:28" x14ac:dyDescent="0.2">
      <c r="L6"/>
      <c r="M6"/>
      <c r="N6">
        <v>200</v>
      </c>
      <c r="R6">
        <v>137.93199999999999</v>
      </c>
      <c r="T6">
        <v>14.97</v>
      </c>
      <c r="AA6"/>
      <c r="AB6"/>
    </row>
    <row r="7" spans="1:28" x14ac:dyDescent="0.2">
      <c r="L7"/>
      <c r="M7"/>
      <c r="N7"/>
      <c r="O7"/>
      <c r="P7"/>
      <c r="R7"/>
      <c r="T7"/>
      <c r="AA7"/>
      <c r="AB7"/>
    </row>
    <row r="8" spans="1:28" x14ac:dyDescent="0.2">
      <c r="L8"/>
      <c r="M8"/>
      <c r="N8"/>
      <c r="O8"/>
      <c r="P8"/>
      <c r="R8"/>
      <c r="T8"/>
      <c r="AA8"/>
      <c r="AB8"/>
    </row>
    <row r="9" spans="1:28" x14ac:dyDescent="0.2">
      <c r="L9"/>
      <c r="M9"/>
      <c r="N9"/>
      <c r="O9"/>
      <c r="P9"/>
      <c r="R9"/>
      <c r="T9"/>
      <c r="AA9"/>
      <c r="AB9"/>
    </row>
    <row r="10" spans="1:28" x14ac:dyDescent="0.2">
      <c r="L10"/>
      <c r="M10"/>
      <c r="N10"/>
      <c r="O10"/>
      <c r="P10"/>
      <c r="R10"/>
      <c r="T10"/>
      <c r="AA10"/>
      <c r="AB10"/>
    </row>
    <row r="11" spans="1:28" x14ac:dyDescent="0.2">
      <c r="L11"/>
      <c r="M11"/>
      <c r="N11"/>
      <c r="O11"/>
      <c r="P11"/>
      <c r="R11"/>
      <c r="T11"/>
      <c r="AA11"/>
      <c r="AB11"/>
    </row>
    <row r="12" spans="1:28" x14ac:dyDescent="0.2">
      <c r="L12"/>
      <c r="M12"/>
      <c r="N12"/>
      <c r="O12"/>
      <c r="P12"/>
      <c r="R12"/>
      <c r="T12"/>
      <c r="AA12"/>
      <c r="AB12"/>
    </row>
    <row r="13" spans="1:28" x14ac:dyDescent="0.2">
      <c r="L13"/>
      <c r="M13"/>
      <c r="N13"/>
      <c r="O13"/>
      <c r="P13"/>
      <c r="R13"/>
      <c r="T13"/>
      <c r="AA13"/>
      <c r="AB13"/>
    </row>
    <row r="14" spans="1:28" x14ac:dyDescent="0.2">
      <c r="L14"/>
      <c r="M14"/>
      <c r="N14"/>
      <c r="O14"/>
      <c r="P14"/>
      <c r="R14"/>
      <c r="T14"/>
      <c r="AA14"/>
      <c r="AB14"/>
    </row>
    <row r="15" spans="1:28" x14ac:dyDescent="0.2">
      <c r="L15"/>
      <c r="M15"/>
      <c r="N15"/>
      <c r="O15"/>
      <c r="P15"/>
      <c r="R15"/>
      <c r="T15"/>
      <c r="AA15"/>
      <c r="AB15"/>
    </row>
    <row r="16" spans="1:28" x14ac:dyDescent="0.2">
      <c r="L16"/>
      <c r="M16"/>
      <c r="N16"/>
      <c r="O16"/>
      <c r="P16"/>
      <c r="R16"/>
      <c r="T16"/>
    </row>
    <row r="17" spans="12:20" x14ac:dyDescent="0.2">
      <c r="L17"/>
      <c r="M17"/>
      <c r="N17"/>
      <c r="O17"/>
      <c r="P17"/>
      <c r="R17"/>
      <c r="T17"/>
    </row>
    <row r="18" spans="12:20" x14ac:dyDescent="0.2">
      <c r="L18"/>
      <c r="M18"/>
      <c r="N18"/>
      <c r="O18"/>
      <c r="P18"/>
      <c r="R18"/>
      <c r="T18"/>
    </row>
    <row r="19" spans="12:20" x14ac:dyDescent="0.2">
      <c r="L19"/>
      <c r="M19"/>
      <c r="N19"/>
      <c r="O19"/>
      <c r="P19"/>
      <c r="R19"/>
      <c r="T19"/>
    </row>
    <row r="20" spans="12:20" x14ac:dyDescent="0.2">
      <c r="L20"/>
      <c r="M20"/>
      <c r="N20"/>
      <c r="O20"/>
      <c r="P20"/>
      <c r="R20"/>
      <c r="T20"/>
    </row>
    <row r="21" spans="12:20" x14ac:dyDescent="0.2">
      <c r="L21"/>
      <c r="M21"/>
      <c r="N21"/>
      <c r="O21"/>
      <c r="P21"/>
      <c r="R21"/>
      <c r="T21"/>
    </row>
    <row r="22" spans="12:20" x14ac:dyDescent="0.2">
      <c r="L22"/>
      <c r="M22"/>
      <c r="N22"/>
      <c r="O22"/>
      <c r="P22"/>
      <c r="R22"/>
      <c r="T22"/>
    </row>
    <row r="23" spans="12:20" x14ac:dyDescent="0.2">
      <c r="L23"/>
      <c r="M23"/>
      <c r="N23"/>
      <c r="O23"/>
      <c r="P23"/>
      <c r="R23"/>
      <c r="T23"/>
    </row>
    <row r="24" spans="12:20" x14ac:dyDescent="0.2">
      <c r="L24"/>
      <c r="M24"/>
      <c r="N24"/>
      <c r="O24"/>
      <c r="P24"/>
      <c r="R24"/>
      <c r="T24"/>
    </row>
    <row r="25" spans="12:20" x14ac:dyDescent="0.2">
      <c r="L25"/>
      <c r="M25"/>
      <c r="N25"/>
      <c r="O25"/>
      <c r="P25"/>
      <c r="R25"/>
      <c r="T25"/>
    </row>
    <row r="26" spans="12:20" x14ac:dyDescent="0.2">
      <c r="L26"/>
      <c r="M26"/>
      <c r="N26"/>
      <c r="O26"/>
      <c r="P26"/>
      <c r="R26"/>
      <c r="T26"/>
    </row>
    <row r="27" spans="12:20" x14ac:dyDescent="0.2">
      <c r="L27"/>
      <c r="M27"/>
      <c r="N27"/>
      <c r="O27"/>
      <c r="P27"/>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pageMargins left="0.75" right="0.75" top="1" bottom="1" header="0.5" footer="0.5"/>
  <pageSetup orientation="portrait" horizontalDpi="4294967292" verticalDpi="429496729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554B1-B71B-FE4C-9A81-365FF1FD0FC5}">
  <sheetPr>
    <tabColor rgb="FF0000FF"/>
  </sheetPr>
  <dimension ref="A1:AB200"/>
  <sheetViews>
    <sheetView topLeftCell="C1" zoomScale="70" workbookViewId="0">
      <selection activeCell="S15" sqref="S15"/>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107</v>
      </c>
      <c r="B2" s="12">
        <v>-82.080830000000006</v>
      </c>
      <c r="C2" s="12">
        <v>-0.67200000000000004</v>
      </c>
      <c r="D2" s="10" t="s">
        <v>11</v>
      </c>
      <c r="E2" s="6"/>
      <c r="F2" s="6"/>
      <c r="G2" s="6"/>
      <c r="L2">
        <v>3.3</v>
      </c>
      <c r="M2">
        <v>3.65</v>
      </c>
      <c r="Q2" s="1"/>
      <c r="R2" s="29">
        <v>115290</v>
      </c>
      <c r="T2">
        <v>26.45</v>
      </c>
      <c r="V2" s="6" t="s">
        <v>110</v>
      </c>
      <c r="W2" s="13" t="s">
        <v>109</v>
      </c>
      <c r="X2" s="6" t="s">
        <v>108</v>
      </c>
      <c r="Y2" s="6" t="s">
        <v>111</v>
      </c>
      <c r="Z2">
        <v>-1414</v>
      </c>
      <c r="AA2"/>
      <c r="AB2"/>
    </row>
    <row r="3" spans="1:28" x14ac:dyDescent="0.2">
      <c r="E3" s="6"/>
      <c r="F3" s="6"/>
      <c r="G3" s="6"/>
      <c r="L3">
        <v>3.45</v>
      </c>
      <c r="M3">
        <v>3.43</v>
      </c>
      <c r="Q3" s="1"/>
      <c r="R3" s="29">
        <v>115830</v>
      </c>
      <c r="T3">
        <v>26.48</v>
      </c>
      <c r="AA3"/>
      <c r="AB3"/>
    </row>
    <row r="4" spans="1:28" x14ac:dyDescent="0.2">
      <c r="E4" s="6"/>
      <c r="F4" s="6"/>
      <c r="G4" s="6"/>
      <c r="L4">
        <v>3.53</v>
      </c>
      <c r="M4">
        <v>4.3899999999999997</v>
      </c>
      <c r="Q4" s="1"/>
      <c r="R4" s="29">
        <v>116630</v>
      </c>
      <c r="T4">
        <v>26.55</v>
      </c>
      <c r="AA4"/>
      <c r="AB4"/>
    </row>
    <row r="5" spans="1:28" x14ac:dyDescent="0.2">
      <c r="E5" s="6"/>
      <c r="F5" s="6"/>
      <c r="G5" s="6"/>
      <c r="L5">
        <v>3.61</v>
      </c>
      <c r="M5">
        <v>4.08</v>
      </c>
      <c r="Q5" s="1"/>
      <c r="R5" s="29">
        <v>117170</v>
      </c>
      <c r="T5">
        <v>26.45</v>
      </c>
      <c r="AA5"/>
      <c r="AB5"/>
    </row>
    <row r="6" spans="1:28" x14ac:dyDescent="0.2">
      <c r="L6">
        <v>3.69</v>
      </c>
      <c r="M6">
        <v>3.25</v>
      </c>
      <c r="Q6" s="1"/>
      <c r="R6" s="29">
        <v>117710</v>
      </c>
      <c r="T6">
        <v>26.48</v>
      </c>
      <c r="AA6"/>
      <c r="AB6"/>
    </row>
    <row r="7" spans="1:28" x14ac:dyDescent="0.2">
      <c r="L7">
        <v>3.77</v>
      </c>
      <c r="M7">
        <v>3.91</v>
      </c>
      <c r="P7"/>
      <c r="Q7" s="1"/>
      <c r="R7" s="29">
        <v>118250</v>
      </c>
      <c r="T7">
        <v>26.55</v>
      </c>
      <c r="AA7"/>
      <c r="AB7"/>
    </row>
    <row r="8" spans="1:28" x14ac:dyDescent="0.2">
      <c r="L8">
        <v>3.85</v>
      </c>
      <c r="M8">
        <v>4.47</v>
      </c>
      <c r="P8"/>
      <c r="Q8" s="1"/>
      <c r="R8" s="29">
        <v>118790</v>
      </c>
      <c r="T8">
        <v>26.42</v>
      </c>
      <c r="AA8"/>
      <c r="AB8"/>
    </row>
    <row r="9" spans="1:28" x14ac:dyDescent="0.2">
      <c r="L9">
        <v>3.93</v>
      </c>
      <c r="M9">
        <v>4.72</v>
      </c>
      <c r="P9"/>
      <c r="Q9" s="1"/>
      <c r="R9" s="29">
        <v>118930</v>
      </c>
      <c r="T9">
        <v>25.35</v>
      </c>
      <c r="AA9"/>
      <c r="AB9"/>
    </row>
    <row r="10" spans="1:28" x14ac:dyDescent="0.2">
      <c r="L10">
        <v>4.01</v>
      </c>
      <c r="M10">
        <v>4.3099999999999996</v>
      </c>
      <c r="P10"/>
      <c r="Q10" s="1"/>
      <c r="R10" s="29">
        <v>119330</v>
      </c>
      <c r="T10">
        <v>26.58</v>
      </c>
      <c r="AA10"/>
      <c r="AB10"/>
    </row>
    <row r="11" spans="1:28" x14ac:dyDescent="0.2">
      <c r="L11">
        <v>4.09</v>
      </c>
      <c r="M11">
        <v>4.63</v>
      </c>
      <c r="P11"/>
      <c r="Q11" s="1"/>
      <c r="R11" s="29">
        <v>119870</v>
      </c>
      <c r="T11">
        <v>26.52</v>
      </c>
      <c r="AA11"/>
      <c r="AB11"/>
    </row>
    <row r="12" spans="1:28" x14ac:dyDescent="0.2">
      <c r="L12"/>
      <c r="M12"/>
      <c r="N12"/>
      <c r="O12"/>
      <c r="P12"/>
      <c r="Q12" s="1"/>
      <c r="R12" s="29">
        <v>120410</v>
      </c>
      <c r="T12">
        <v>26.64</v>
      </c>
      <c r="AA12"/>
      <c r="AB12"/>
    </row>
    <row r="13" spans="1:28" x14ac:dyDescent="0.2">
      <c r="L13"/>
      <c r="M13"/>
      <c r="N13"/>
      <c r="O13"/>
      <c r="P13"/>
      <c r="Q13" s="1"/>
      <c r="R13" s="29">
        <v>120950</v>
      </c>
      <c r="T13">
        <v>26.55</v>
      </c>
      <c r="AA13"/>
      <c r="AB13"/>
    </row>
    <row r="14" spans="1:28" x14ac:dyDescent="0.2">
      <c r="L14"/>
      <c r="M14"/>
      <c r="N14"/>
      <c r="O14"/>
      <c r="P14"/>
      <c r="Q14" s="1"/>
      <c r="R14" s="29">
        <v>121090</v>
      </c>
      <c r="T14">
        <v>25.72</v>
      </c>
      <c r="AA14"/>
      <c r="AB14"/>
    </row>
    <row r="15" spans="1:28" x14ac:dyDescent="0.2">
      <c r="L15"/>
      <c r="M15"/>
      <c r="N15"/>
      <c r="O15"/>
      <c r="P15"/>
      <c r="Q15" s="1"/>
      <c r="R15" s="29">
        <v>121490</v>
      </c>
      <c r="T15">
        <v>26.55</v>
      </c>
      <c r="AA15"/>
      <c r="AB15"/>
    </row>
    <row r="16" spans="1:28" x14ac:dyDescent="0.2">
      <c r="L16"/>
      <c r="M16"/>
      <c r="N16"/>
      <c r="O16"/>
      <c r="P16"/>
      <c r="Q16" s="1"/>
      <c r="R16" s="29">
        <v>122030</v>
      </c>
      <c r="T16">
        <v>26.52</v>
      </c>
    </row>
    <row r="17" spans="12:20" x14ac:dyDescent="0.2">
      <c r="L17"/>
      <c r="M17"/>
      <c r="N17"/>
      <c r="O17"/>
      <c r="P17"/>
      <c r="Q17" s="1"/>
      <c r="R17" s="29">
        <v>122570</v>
      </c>
      <c r="T17">
        <v>26.55</v>
      </c>
    </row>
    <row r="18" spans="12:20" x14ac:dyDescent="0.2">
      <c r="L18"/>
      <c r="M18"/>
      <c r="N18"/>
      <c r="O18"/>
      <c r="P18"/>
      <c r="Q18" s="1"/>
      <c r="R18" s="29">
        <v>123110</v>
      </c>
      <c r="T18">
        <v>26.61</v>
      </c>
    </row>
    <row r="19" spans="12:20" x14ac:dyDescent="0.2">
      <c r="L19"/>
      <c r="M19"/>
      <c r="N19"/>
      <c r="O19"/>
      <c r="P19"/>
      <c r="Q19" s="1"/>
      <c r="R19" s="29">
        <v>123250</v>
      </c>
      <c r="T19">
        <v>26.15</v>
      </c>
    </row>
    <row r="20" spans="12:20" x14ac:dyDescent="0.2">
      <c r="L20"/>
      <c r="M20"/>
      <c r="N20"/>
      <c r="O20"/>
      <c r="P20"/>
      <c r="Q20" s="1"/>
      <c r="R20" s="29">
        <v>123650</v>
      </c>
      <c r="T20">
        <v>26.55</v>
      </c>
    </row>
    <row r="21" spans="12:20" x14ac:dyDescent="0.2">
      <c r="L21"/>
      <c r="M21"/>
      <c r="N21"/>
      <c r="O21"/>
      <c r="P21"/>
      <c r="Q21" s="1"/>
      <c r="R21" s="29">
        <v>124190</v>
      </c>
      <c r="T21">
        <v>26.64</v>
      </c>
    </row>
    <row r="22" spans="12:20" x14ac:dyDescent="0.2">
      <c r="L22"/>
      <c r="M22"/>
      <c r="N22"/>
      <c r="O22"/>
      <c r="P22"/>
      <c r="Q22" s="1"/>
      <c r="R22" s="29">
        <v>124730</v>
      </c>
      <c r="T22">
        <v>26.67</v>
      </c>
    </row>
    <row r="23" spans="12:20" x14ac:dyDescent="0.2">
      <c r="L23"/>
      <c r="M23"/>
      <c r="N23"/>
      <c r="O23"/>
      <c r="P23"/>
      <c r="Q23" s="1"/>
      <c r="R23" s="29">
        <v>125390</v>
      </c>
      <c r="T23">
        <v>26.61</v>
      </c>
    </row>
    <row r="24" spans="12:20" x14ac:dyDescent="0.2">
      <c r="L24"/>
      <c r="M24"/>
      <c r="N24"/>
      <c r="O24"/>
      <c r="P24"/>
      <c r="Q24" s="1"/>
      <c r="R24" s="29">
        <v>125580</v>
      </c>
      <c r="T24">
        <v>26.1</v>
      </c>
    </row>
    <row r="25" spans="12:20" x14ac:dyDescent="0.2">
      <c r="L25"/>
      <c r="M25"/>
      <c r="N25"/>
      <c r="O25"/>
      <c r="P25"/>
      <c r="Q25" s="1"/>
      <c r="R25" s="29">
        <v>126160</v>
      </c>
      <c r="T25">
        <v>26.64</v>
      </c>
    </row>
    <row r="26" spans="12:20" x14ac:dyDescent="0.2">
      <c r="L26"/>
      <c r="M26"/>
      <c r="N26"/>
      <c r="O26"/>
      <c r="P26"/>
      <c r="Q26" s="1"/>
      <c r="R26" s="29">
        <v>126940</v>
      </c>
      <c r="T26">
        <v>26.55</v>
      </c>
    </row>
    <row r="27" spans="12:20" x14ac:dyDescent="0.2">
      <c r="L27"/>
      <c r="M27"/>
      <c r="N27"/>
      <c r="O27"/>
      <c r="P27"/>
      <c r="Q27" s="1"/>
      <c r="R27" s="29">
        <v>127710</v>
      </c>
      <c r="T27">
        <v>26.58</v>
      </c>
    </row>
    <row r="28" spans="12:20" x14ac:dyDescent="0.2">
      <c r="L28"/>
      <c r="M28"/>
      <c r="N28"/>
      <c r="O28"/>
      <c r="P28"/>
      <c r="Q28" s="1"/>
      <c r="R28" s="29">
        <v>128490.00000000001</v>
      </c>
      <c r="T28">
        <v>26.64</v>
      </c>
    </row>
    <row r="29" spans="12:20" x14ac:dyDescent="0.2">
      <c r="L29"/>
      <c r="M29"/>
      <c r="N29"/>
      <c r="O29"/>
      <c r="P29"/>
      <c r="Q29" s="1"/>
      <c r="R29" s="29">
        <v>128680</v>
      </c>
      <c r="T29">
        <v>26.2</v>
      </c>
    </row>
    <row r="30" spans="12:20" x14ac:dyDescent="0.2">
      <c r="L30"/>
      <c r="M30"/>
      <c r="N30"/>
      <c r="O30"/>
      <c r="P30"/>
      <c r="Q30" s="1"/>
      <c r="R30" s="29">
        <v>129259.99999999999</v>
      </c>
      <c r="T30">
        <v>26.58</v>
      </c>
    </row>
    <row r="31" spans="12:20" x14ac:dyDescent="0.2">
      <c r="L31"/>
      <c r="M31"/>
      <c r="N31"/>
      <c r="O31"/>
      <c r="P31"/>
      <c r="Q31" s="1"/>
      <c r="R31" s="29">
        <v>130039.99999999999</v>
      </c>
      <c r="T31">
        <v>26.58</v>
      </c>
    </row>
    <row r="32" spans="12:20" x14ac:dyDescent="0.2">
      <c r="L32"/>
      <c r="M32"/>
      <c r="N32"/>
      <c r="O32"/>
      <c r="P32"/>
      <c r="Q32" s="1"/>
      <c r="R32" s="29">
        <v>131590</v>
      </c>
      <c r="T32">
        <v>26.39</v>
      </c>
    </row>
    <row r="33" spans="12:20" x14ac:dyDescent="0.2">
      <c r="L33"/>
      <c r="M33"/>
      <c r="N33"/>
      <c r="O33"/>
      <c r="P33"/>
      <c r="Q33" s="1"/>
      <c r="R33" s="29">
        <v>131780</v>
      </c>
      <c r="T33">
        <v>26.54</v>
      </c>
    </row>
    <row r="34" spans="12:20" x14ac:dyDescent="0.2">
      <c r="L34"/>
      <c r="M34"/>
      <c r="N34"/>
      <c r="O34"/>
      <c r="P34"/>
      <c r="Q34" s="1"/>
      <c r="R34" s="29">
        <v>133140</v>
      </c>
      <c r="T34">
        <v>25.91</v>
      </c>
    </row>
    <row r="35" spans="12:20" x14ac:dyDescent="0.2">
      <c r="L35"/>
      <c r="M35"/>
      <c r="N35"/>
      <c r="O35"/>
      <c r="P35"/>
      <c r="Q35" s="1"/>
      <c r="R35" s="29">
        <v>134690</v>
      </c>
      <c r="T35">
        <v>25.42</v>
      </c>
    </row>
    <row r="36" spans="12:20" x14ac:dyDescent="0.2">
      <c r="L36"/>
      <c r="M36"/>
      <c r="N36"/>
      <c r="O36"/>
      <c r="P36"/>
      <c r="Q36" s="1"/>
      <c r="R36" s="29">
        <v>136240</v>
      </c>
      <c r="T36">
        <v>25.24</v>
      </c>
    </row>
    <row r="37" spans="12:20" x14ac:dyDescent="0.2">
      <c r="Q37" s="1"/>
      <c r="R37" s="29">
        <v>137010</v>
      </c>
      <c r="T37">
        <v>25.3</v>
      </c>
    </row>
    <row r="38" spans="12:20" x14ac:dyDescent="0.2">
      <c r="Q38" s="1"/>
      <c r="R38" s="29">
        <v>137790</v>
      </c>
      <c r="T38">
        <v>25.12</v>
      </c>
    </row>
    <row r="39" spans="12:20" x14ac:dyDescent="0.2">
      <c r="Q39" s="1"/>
      <c r="R39" s="29">
        <v>137980</v>
      </c>
      <c r="T39">
        <v>25.14</v>
      </c>
    </row>
    <row r="40" spans="12:20" x14ac:dyDescent="0.2">
      <c r="Q40" s="1"/>
      <c r="R40" s="29">
        <v>139340</v>
      </c>
      <c r="T40">
        <v>25.73</v>
      </c>
    </row>
    <row r="41" spans="12:20" x14ac:dyDescent="0.2">
      <c r="Q41" s="1"/>
      <c r="R41" s="29">
        <v>140890</v>
      </c>
      <c r="T41">
        <v>25.33</v>
      </c>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8245D3D1-E352-7341-9D1B-FC0F11FCD167}"/>
  </hyperlinks>
  <pageMargins left="0.75" right="0.75" top="1" bottom="1" header="0.5" footer="0.5"/>
  <pageSetup orientation="portrait" horizontalDpi="4294967292" verticalDpi="429496729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68D7C-008E-C742-B9AF-554F021C647F}">
  <sheetPr>
    <tabColor theme="6"/>
  </sheetPr>
  <dimension ref="A1:AB200"/>
  <sheetViews>
    <sheetView topLeftCell="M1" zoomScale="66" workbookViewId="0">
      <selection activeCell="N13" sqref="N1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112</v>
      </c>
      <c r="B2" s="12">
        <v>-106.52</v>
      </c>
      <c r="C2" s="12">
        <v>22.52</v>
      </c>
      <c r="D2" s="10" t="s">
        <v>11</v>
      </c>
      <c r="E2" s="6"/>
      <c r="F2" s="6"/>
      <c r="G2" s="6"/>
      <c r="L2"/>
      <c r="M2"/>
      <c r="N2">
        <v>535.5</v>
      </c>
      <c r="O2">
        <v>0.85199999999999998</v>
      </c>
      <c r="R2">
        <v>115140</v>
      </c>
      <c r="S2" s="1">
        <v>17.849999999999998</v>
      </c>
      <c r="T2">
        <v>23.95</v>
      </c>
      <c r="U2" s="1">
        <v>32.870000000000005</v>
      </c>
      <c r="V2" s="6" t="s">
        <v>114</v>
      </c>
      <c r="W2" s="13" t="s">
        <v>113</v>
      </c>
      <c r="X2" s="6" t="s">
        <v>115</v>
      </c>
      <c r="Y2" s="6" t="s">
        <v>116</v>
      </c>
      <c r="Z2">
        <v>-2025</v>
      </c>
      <c r="AA2"/>
      <c r="AB2"/>
    </row>
    <row r="3" spans="1:28" x14ac:dyDescent="0.2">
      <c r="E3" s="6"/>
      <c r="F3" s="6"/>
      <c r="G3" s="6"/>
      <c r="L3"/>
      <c r="M3"/>
      <c r="N3">
        <v>539.5</v>
      </c>
      <c r="O3">
        <v>0.83899999999999997</v>
      </c>
      <c r="R3">
        <v>116787</v>
      </c>
      <c r="S3" s="1">
        <v>17.64</v>
      </c>
      <c r="T3">
        <v>23.46</v>
      </c>
      <c r="U3" s="1">
        <v>31.259999999999998</v>
      </c>
      <c r="AA3"/>
      <c r="AB3"/>
    </row>
    <row r="4" spans="1:28" x14ac:dyDescent="0.2">
      <c r="E4" s="6"/>
      <c r="F4" s="6"/>
      <c r="G4" s="6"/>
      <c r="L4"/>
      <c r="M4"/>
      <c r="N4">
        <v>543.5</v>
      </c>
      <c r="O4">
        <v>0.83599999999999997</v>
      </c>
      <c r="R4">
        <v>118411</v>
      </c>
      <c r="S4" s="1">
        <v>17.529999999999998</v>
      </c>
      <c r="T4">
        <v>23.37</v>
      </c>
      <c r="U4" s="1">
        <v>30.99</v>
      </c>
      <c r="AA4"/>
      <c r="AB4"/>
    </row>
    <row r="5" spans="1:28" x14ac:dyDescent="0.2">
      <c r="E5" s="6"/>
      <c r="F5" s="6"/>
      <c r="G5" s="6"/>
      <c r="L5"/>
      <c r="M5"/>
      <c r="N5">
        <v>546.5</v>
      </c>
      <c r="O5">
        <v>0.82399999999999995</v>
      </c>
      <c r="R5">
        <v>119569</v>
      </c>
      <c r="S5" s="1">
        <v>17.240000000000002</v>
      </c>
      <c r="T5">
        <v>22.96</v>
      </c>
      <c r="U5" s="1">
        <v>30.060000000000002</v>
      </c>
      <c r="AA5"/>
      <c r="AB5"/>
    </row>
    <row r="6" spans="1:28" x14ac:dyDescent="0.2">
      <c r="L6"/>
      <c r="M6"/>
      <c r="N6">
        <v>561.5</v>
      </c>
      <c r="O6">
        <v>0.83199999999999996</v>
      </c>
      <c r="R6">
        <v>123259</v>
      </c>
      <c r="S6" s="1">
        <v>17.330000000000002</v>
      </c>
      <c r="T6">
        <v>23.23</v>
      </c>
      <c r="U6" s="1">
        <v>30.830000000000002</v>
      </c>
      <c r="AA6"/>
      <c r="AB6"/>
    </row>
    <row r="7" spans="1:28" x14ac:dyDescent="0.2">
      <c r="L7"/>
      <c r="M7"/>
      <c r="N7">
        <v>565.5</v>
      </c>
      <c r="O7">
        <v>0.81499999999999995</v>
      </c>
      <c r="P7"/>
      <c r="R7">
        <v>124280</v>
      </c>
      <c r="S7" s="1">
        <v>16.940000000000001</v>
      </c>
      <c r="T7">
        <v>22.66</v>
      </c>
      <c r="U7" s="1">
        <v>29.419999999999998</v>
      </c>
      <c r="AA7"/>
      <c r="AB7"/>
    </row>
    <row r="8" spans="1:28" x14ac:dyDescent="0.2">
      <c r="L8"/>
      <c r="M8"/>
      <c r="N8">
        <v>569.5</v>
      </c>
      <c r="O8">
        <v>0.79400000000000004</v>
      </c>
      <c r="P8"/>
      <c r="R8">
        <v>125279</v>
      </c>
      <c r="S8" s="1">
        <v>16.309999999999999</v>
      </c>
      <c r="T8">
        <v>21.99</v>
      </c>
      <c r="U8" s="1">
        <v>28.330000000000002</v>
      </c>
      <c r="AA8"/>
      <c r="AB8"/>
    </row>
    <row r="9" spans="1:28" x14ac:dyDescent="0.2">
      <c r="L9"/>
      <c r="M9"/>
      <c r="N9">
        <v>575.5</v>
      </c>
      <c r="O9">
        <v>0.78100000000000003</v>
      </c>
      <c r="P9"/>
      <c r="R9">
        <v>126780</v>
      </c>
      <c r="S9" s="1">
        <v>15.899999999999999</v>
      </c>
      <c r="T9">
        <v>21.58</v>
      </c>
      <c r="U9" s="1">
        <v>27.64</v>
      </c>
      <c r="AA9"/>
      <c r="AB9"/>
    </row>
    <row r="10" spans="1:28" x14ac:dyDescent="0.2">
      <c r="L10"/>
      <c r="M10"/>
      <c r="N10">
        <v>578.5</v>
      </c>
      <c r="O10">
        <v>0.77800000000000002</v>
      </c>
      <c r="P10"/>
      <c r="R10">
        <v>127503</v>
      </c>
      <c r="S10" s="1">
        <v>15.790000000000003</v>
      </c>
      <c r="T10">
        <v>21.49</v>
      </c>
      <c r="U10" s="1">
        <v>27.49</v>
      </c>
      <c r="AA10"/>
      <c r="AB10"/>
    </row>
    <row r="11" spans="1:28" x14ac:dyDescent="0.2">
      <c r="L11"/>
      <c r="M11"/>
      <c r="N11">
        <v>580.5</v>
      </c>
      <c r="O11">
        <v>0.76700000000000002</v>
      </c>
      <c r="P11"/>
      <c r="R11">
        <v>127985</v>
      </c>
      <c r="S11" s="1">
        <v>15.520000000000003</v>
      </c>
      <c r="T11">
        <v>21.18</v>
      </c>
      <c r="U11" s="1">
        <v>27.020000000000003</v>
      </c>
      <c r="AA11"/>
      <c r="AB11"/>
    </row>
    <row r="12" spans="1:28" x14ac:dyDescent="0.2">
      <c r="L12"/>
      <c r="M12"/>
      <c r="N12">
        <v>582.5</v>
      </c>
      <c r="O12">
        <v>0.754</v>
      </c>
      <c r="P12"/>
      <c r="R12">
        <v>128463</v>
      </c>
      <c r="S12" s="1">
        <v>15.120000000000001</v>
      </c>
      <c r="T12">
        <v>20.76</v>
      </c>
      <c r="U12" s="1">
        <v>26.66</v>
      </c>
      <c r="AA12"/>
      <c r="AB12"/>
    </row>
    <row r="13" spans="1:28" x14ac:dyDescent="0.2">
      <c r="L13"/>
      <c r="M13"/>
      <c r="N13">
        <v>585.5</v>
      </c>
      <c r="O13">
        <v>0.75</v>
      </c>
      <c r="P13"/>
      <c r="R13">
        <v>129173</v>
      </c>
      <c r="S13" s="1">
        <v>15.019999999999996</v>
      </c>
      <c r="T13">
        <v>20.64</v>
      </c>
      <c r="U13" s="1">
        <v>26.54</v>
      </c>
      <c r="AA13"/>
      <c r="AB13"/>
    </row>
    <row r="14" spans="1:28" x14ac:dyDescent="0.2">
      <c r="L14"/>
      <c r="M14"/>
      <c r="N14">
        <v>587.5</v>
      </c>
      <c r="O14">
        <v>0.76400000000000001</v>
      </c>
      <c r="P14"/>
      <c r="R14">
        <v>129660</v>
      </c>
      <c r="S14" s="1">
        <v>15.340000000000003</v>
      </c>
      <c r="T14">
        <v>21.08</v>
      </c>
      <c r="U14" s="1">
        <v>26.940000000000005</v>
      </c>
      <c r="AA14"/>
      <c r="AB14"/>
    </row>
    <row r="15" spans="1:28" x14ac:dyDescent="0.2">
      <c r="L15"/>
      <c r="M15"/>
      <c r="N15">
        <v>590.5</v>
      </c>
      <c r="O15">
        <v>0.751</v>
      </c>
      <c r="P15"/>
      <c r="R15">
        <v>130333</v>
      </c>
      <c r="S15" s="1">
        <v>15</v>
      </c>
      <c r="T15">
        <v>20.68</v>
      </c>
      <c r="U15" s="1">
        <v>26.479999999999997</v>
      </c>
      <c r="AA15"/>
      <c r="AB15"/>
    </row>
    <row r="16" spans="1:28" x14ac:dyDescent="0.2">
      <c r="L16"/>
      <c r="M16"/>
      <c r="N16">
        <v>594.5</v>
      </c>
      <c r="O16">
        <v>0.749</v>
      </c>
      <c r="P16"/>
      <c r="R16">
        <v>131230</v>
      </c>
      <c r="S16" s="1">
        <v>14.89</v>
      </c>
      <c r="T16">
        <v>20.61</v>
      </c>
      <c r="U16" s="1">
        <v>26.410000000000004</v>
      </c>
    </row>
    <row r="17" spans="12:21" x14ac:dyDescent="0.2">
      <c r="L17"/>
      <c r="M17"/>
      <c r="N17">
        <v>600.5</v>
      </c>
      <c r="O17">
        <v>0.73399999999999999</v>
      </c>
      <c r="P17"/>
      <c r="R17">
        <v>132521</v>
      </c>
      <c r="S17" s="1">
        <v>14.440000000000001</v>
      </c>
      <c r="T17">
        <v>20.16</v>
      </c>
      <c r="U17" s="1">
        <v>25.84</v>
      </c>
    </row>
    <row r="18" spans="12:21" x14ac:dyDescent="0.2">
      <c r="L18"/>
      <c r="M18"/>
      <c r="N18">
        <v>603.5</v>
      </c>
      <c r="O18">
        <v>0.74</v>
      </c>
      <c r="P18"/>
      <c r="R18">
        <v>133158</v>
      </c>
      <c r="S18" s="1">
        <v>14.649999999999999</v>
      </c>
      <c r="T18">
        <v>20.350000000000001</v>
      </c>
      <c r="U18" s="1">
        <v>26.129999999999995</v>
      </c>
    </row>
    <row r="19" spans="12:21" x14ac:dyDescent="0.2">
      <c r="L19"/>
      <c r="M19"/>
      <c r="N19">
        <v>607.5</v>
      </c>
      <c r="O19">
        <v>0.74199999999999999</v>
      </c>
      <c r="P19"/>
      <c r="R19">
        <v>133999</v>
      </c>
      <c r="S19" s="1">
        <v>14.689999999999998</v>
      </c>
      <c r="T19">
        <v>20.39</v>
      </c>
      <c r="U19" s="1">
        <v>26.15</v>
      </c>
    </row>
    <row r="20" spans="12:21" x14ac:dyDescent="0.2">
      <c r="L20"/>
      <c r="M20"/>
      <c r="N20">
        <v>610.5</v>
      </c>
      <c r="O20">
        <v>0.75700000000000001</v>
      </c>
      <c r="P20"/>
      <c r="R20">
        <v>134589</v>
      </c>
      <c r="S20" s="1">
        <v>15.200000000000003</v>
      </c>
      <c r="T20">
        <v>20.86</v>
      </c>
      <c r="U20" s="1">
        <v>26.68</v>
      </c>
    </row>
    <row r="21" spans="12:21" x14ac:dyDescent="0.2">
      <c r="L21"/>
      <c r="M21"/>
      <c r="N21">
        <v>615.5</v>
      </c>
      <c r="O21">
        <v>0.76700000000000002</v>
      </c>
      <c r="P21"/>
      <c r="R21">
        <v>135558</v>
      </c>
      <c r="S21" s="1">
        <v>15.459999999999997</v>
      </c>
      <c r="T21">
        <v>21.16</v>
      </c>
      <c r="U21" s="1">
        <v>27.040000000000003</v>
      </c>
    </row>
    <row r="22" spans="12:21" x14ac:dyDescent="0.2">
      <c r="L22"/>
      <c r="M22"/>
      <c r="N22">
        <v>620.5</v>
      </c>
      <c r="O22">
        <v>0.76</v>
      </c>
      <c r="P22"/>
      <c r="R22">
        <v>136542</v>
      </c>
      <c r="S22" s="1">
        <v>15.27</v>
      </c>
      <c r="T22">
        <v>20.95</v>
      </c>
      <c r="U22" s="1">
        <v>26.790000000000003</v>
      </c>
    </row>
    <row r="23" spans="12:21" x14ac:dyDescent="0.2">
      <c r="L23"/>
      <c r="M23"/>
      <c r="N23">
        <v>624.5</v>
      </c>
      <c r="O23">
        <v>0.79200000000000004</v>
      </c>
      <c r="P23"/>
      <c r="R23">
        <v>137329</v>
      </c>
      <c r="S23" s="1">
        <v>16.219999999999995</v>
      </c>
      <c r="T23">
        <v>21.94</v>
      </c>
      <c r="U23" s="1">
        <v>28.099999999999998</v>
      </c>
    </row>
    <row r="24" spans="12:21" x14ac:dyDescent="0.2">
      <c r="L24"/>
      <c r="M24"/>
      <c r="N24">
        <v>630.5</v>
      </c>
      <c r="O24">
        <v>0.77</v>
      </c>
      <c r="P24"/>
      <c r="R24">
        <v>138522</v>
      </c>
      <c r="S24" s="1">
        <v>15.540000000000003</v>
      </c>
      <c r="T24">
        <v>21.24</v>
      </c>
      <c r="U24" s="1">
        <v>27.16</v>
      </c>
    </row>
    <row r="25" spans="12:21" x14ac:dyDescent="0.2">
      <c r="L25"/>
      <c r="M25"/>
      <c r="N25">
        <v>634.5</v>
      </c>
      <c r="O25">
        <v>0.77900000000000003</v>
      </c>
      <c r="P25"/>
      <c r="R25">
        <v>139295</v>
      </c>
      <c r="S25" s="1">
        <v>15.829999999999998</v>
      </c>
      <c r="T25">
        <v>21.53</v>
      </c>
      <c r="U25" s="1">
        <v>27.509999999999998</v>
      </c>
    </row>
    <row r="26" spans="12:21" x14ac:dyDescent="0.2">
      <c r="L26"/>
      <c r="M26"/>
      <c r="N26">
        <v>640.5</v>
      </c>
      <c r="O26">
        <v>0.77400000000000002</v>
      </c>
      <c r="P26"/>
      <c r="R26">
        <v>140475</v>
      </c>
      <c r="S26" s="1">
        <v>15.660000000000004</v>
      </c>
      <c r="T26">
        <v>21.4</v>
      </c>
      <c r="U26" s="1">
        <v>27.36</v>
      </c>
    </row>
    <row r="27" spans="12:21" x14ac:dyDescent="0.2">
      <c r="L27"/>
      <c r="M27"/>
      <c r="N27"/>
      <c r="O27"/>
      <c r="P27"/>
      <c r="R27"/>
      <c r="T27"/>
    </row>
    <row r="28" spans="12:21" x14ac:dyDescent="0.2">
      <c r="L28"/>
      <c r="M28"/>
      <c r="N28"/>
      <c r="O28"/>
      <c r="P28"/>
      <c r="R28"/>
      <c r="T28"/>
    </row>
    <row r="29" spans="12:21" x14ac:dyDescent="0.2">
      <c r="L29"/>
      <c r="M29"/>
      <c r="N29"/>
      <c r="O29"/>
      <c r="P29"/>
      <c r="R29"/>
      <c r="T29"/>
    </row>
    <row r="30" spans="12:21" x14ac:dyDescent="0.2">
      <c r="L30"/>
      <c r="M30"/>
      <c r="N30"/>
      <c r="O30"/>
      <c r="P30"/>
      <c r="R30"/>
      <c r="T30"/>
    </row>
    <row r="31" spans="12:21" x14ac:dyDescent="0.2">
      <c r="L31"/>
      <c r="M31"/>
      <c r="N31"/>
      <c r="O31"/>
      <c r="P31"/>
      <c r="R31"/>
      <c r="T31"/>
    </row>
    <row r="32" spans="12:21"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BE058402-5C8D-3845-B619-E1301CBC113F}"/>
  </hyperlinks>
  <pageMargins left="0.75" right="0.75" top="1" bottom="1" header="0.5" footer="0.5"/>
  <pageSetup orientation="portrait" horizontalDpi="4294967292" verticalDpi="429496729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65F218-32D5-1A45-9806-47802D6C4FC1}">
  <sheetPr>
    <tabColor theme="6"/>
  </sheetPr>
  <dimension ref="A1:AB200"/>
  <sheetViews>
    <sheetView topLeftCell="Q1" workbookViewId="0">
      <selection activeCell="W2" sqref="W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117</v>
      </c>
      <c r="B2" s="12">
        <v>-90.95</v>
      </c>
      <c r="C2" s="12">
        <v>2.25</v>
      </c>
      <c r="D2" s="10" t="s">
        <v>20</v>
      </c>
      <c r="E2" s="6"/>
      <c r="F2" s="6"/>
      <c r="G2" s="6"/>
      <c r="L2"/>
      <c r="M2"/>
      <c r="N2">
        <v>374</v>
      </c>
      <c r="O2">
        <v>2.698</v>
      </c>
      <c r="P2" s="6">
        <v>24.8</v>
      </c>
      <c r="R2">
        <v>116.4</v>
      </c>
      <c r="S2" s="1">
        <f>T2-0.6</f>
        <v>24.2</v>
      </c>
      <c r="T2" s="6">
        <v>24.8</v>
      </c>
      <c r="U2" s="1">
        <f xml:space="preserve"> T2+0.6</f>
        <v>25.400000000000002</v>
      </c>
      <c r="V2" s="13" t="s">
        <v>121</v>
      </c>
      <c r="W2" s="13" t="s">
        <v>120</v>
      </c>
      <c r="X2" s="6" t="s">
        <v>119</v>
      </c>
      <c r="Y2" s="6" t="s">
        <v>118</v>
      </c>
      <c r="Z2">
        <v>-2348</v>
      </c>
      <c r="AA2"/>
      <c r="AB2"/>
    </row>
    <row r="3" spans="1:28" x14ac:dyDescent="0.2">
      <c r="E3" s="6"/>
      <c r="F3" s="6"/>
      <c r="G3" s="6"/>
      <c r="L3"/>
      <c r="M3"/>
      <c r="N3">
        <v>379</v>
      </c>
      <c r="O3">
        <v>3.13</v>
      </c>
      <c r="P3" s="6">
        <v>26.5</v>
      </c>
      <c r="R3">
        <v>119</v>
      </c>
      <c r="S3" s="1">
        <f t="shared" ref="S3:S14" si="0">T3-0.6</f>
        <v>25.9</v>
      </c>
      <c r="T3" s="6">
        <v>26.5</v>
      </c>
      <c r="U3" s="1">
        <f t="shared" ref="U3:U15" si="1" xml:space="preserve"> T3+0.6</f>
        <v>27.1</v>
      </c>
      <c r="AA3"/>
      <c r="AB3"/>
    </row>
    <row r="4" spans="1:28" x14ac:dyDescent="0.2">
      <c r="E4" s="6"/>
      <c r="F4" s="6"/>
      <c r="G4" s="6"/>
      <c r="L4"/>
      <c r="M4"/>
      <c r="N4">
        <v>384</v>
      </c>
      <c r="O4">
        <v>3.0910000000000002</v>
      </c>
      <c r="P4" s="6">
        <v>26.3</v>
      </c>
      <c r="R4">
        <v>121.5</v>
      </c>
      <c r="S4" s="1">
        <f t="shared" si="0"/>
        <v>25.7</v>
      </c>
      <c r="T4" s="6">
        <v>26.3</v>
      </c>
      <c r="U4" s="1">
        <f t="shared" si="1"/>
        <v>26.900000000000002</v>
      </c>
      <c r="AA4"/>
      <c r="AB4"/>
    </row>
    <row r="5" spans="1:28" x14ac:dyDescent="0.2">
      <c r="E5" s="6"/>
      <c r="F5" s="6"/>
      <c r="G5" s="6"/>
      <c r="L5"/>
      <c r="M5"/>
      <c r="N5">
        <v>389</v>
      </c>
      <c r="O5">
        <v>3.3849999999999998</v>
      </c>
      <c r="P5" s="6">
        <v>27.3</v>
      </c>
      <c r="R5">
        <v>124</v>
      </c>
      <c r="S5" s="1">
        <f t="shared" si="0"/>
        <v>26.7</v>
      </c>
      <c r="T5" s="6">
        <v>27.3</v>
      </c>
      <c r="U5" s="1">
        <f t="shared" si="1"/>
        <v>27.900000000000002</v>
      </c>
      <c r="AA5"/>
      <c r="AB5"/>
    </row>
    <row r="6" spans="1:28" x14ac:dyDescent="0.2">
      <c r="L6"/>
      <c r="M6"/>
      <c r="N6">
        <v>394</v>
      </c>
      <c r="O6">
        <v>3.59</v>
      </c>
      <c r="P6" s="6">
        <v>28</v>
      </c>
      <c r="R6">
        <v>125.4</v>
      </c>
      <c r="S6" s="1">
        <f t="shared" si="0"/>
        <v>27.4</v>
      </c>
      <c r="T6" s="6">
        <v>28</v>
      </c>
      <c r="U6" s="1">
        <f t="shared" si="1"/>
        <v>28.6</v>
      </c>
      <c r="AA6"/>
      <c r="AB6"/>
    </row>
    <row r="7" spans="1:28" x14ac:dyDescent="0.2">
      <c r="L7"/>
      <c r="M7"/>
      <c r="N7">
        <v>399</v>
      </c>
      <c r="O7">
        <v>3.621</v>
      </c>
      <c r="P7" s="6">
        <v>28.1</v>
      </c>
      <c r="Q7" s="1"/>
      <c r="R7">
        <v>126.8</v>
      </c>
      <c r="S7" s="1">
        <f t="shared" si="0"/>
        <v>27.5</v>
      </c>
      <c r="T7" s="6">
        <v>28.1</v>
      </c>
      <c r="U7" s="1">
        <f t="shared" si="1"/>
        <v>28.700000000000003</v>
      </c>
      <c r="AA7"/>
      <c r="AB7"/>
    </row>
    <row r="8" spans="1:28" ht="17" x14ac:dyDescent="0.25">
      <c r="L8"/>
      <c r="M8" s="18"/>
      <c r="N8">
        <v>404</v>
      </c>
      <c r="O8">
        <v>3.6139999999999999</v>
      </c>
      <c r="P8" s="6">
        <v>28.1</v>
      </c>
      <c r="R8">
        <v>128.19999999999999</v>
      </c>
      <c r="S8" s="1">
        <f t="shared" si="0"/>
        <v>27.5</v>
      </c>
      <c r="T8" s="6">
        <v>28.1</v>
      </c>
      <c r="U8" s="1">
        <f t="shared" si="1"/>
        <v>28.700000000000003</v>
      </c>
      <c r="AA8"/>
      <c r="AB8"/>
    </row>
    <row r="9" spans="1:28" x14ac:dyDescent="0.2">
      <c r="L9"/>
      <c r="M9" s="17"/>
      <c r="N9">
        <v>409</v>
      </c>
      <c r="O9">
        <v>3.1579999999999999</v>
      </c>
      <c r="P9" s="6">
        <v>26.6</v>
      </c>
      <c r="R9">
        <v>129.6</v>
      </c>
      <c r="S9" s="1">
        <f t="shared" si="0"/>
        <v>26</v>
      </c>
      <c r="T9" s="6">
        <v>26.6</v>
      </c>
      <c r="U9" s="1">
        <f t="shared" si="1"/>
        <v>27.200000000000003</v>
      </c>
      <c r="AA9"/>
      <c r="AB9"/>
    </row>
    <row r="10" spans="1:28" x14ac:dyDescent="0.2">
      <c r="L10"/>
      <c r="M10" s="17"/>
      <c r="N10">
        <v>414</v>
      </c>
      <c r="O10">
        <v>3.367</v>
      </c>
      <c r="P10" s="6">
        <v>27.3</v>
      </c>
      <c r="R10">
        <v>131</v>
      </c>
      <c r="S10" s="1">
        <f t="shared" si="0"/>
        <v>26.7</v>
      </c>
      <c r="T10" s="6">
        <v>27.3</v>
      </c>
      <c r="U10" s="1">
        <f t="shared" si="1"/>
        <v>27.900000000000002</v>
      </c>
      <c r="AA10"/>
      <c r="AB10"/>
    </row>
    <row r="11" spans="1:28" x14ac:dyDescent="0.2">
      <c r="L11"/>
      <c r="M11" s="17"/>
      <c r="N11">
        <v>419</v>
      </c>
      <c r="O11">
        <v>3.0579999999999998</v>
      </c>
      <c r="P11" s="6">
        <v>26.2</v>
      </c>
      <c r="R11">
        <v>132.69999999999999</v>
      </c>
      <c r="S11" s="1">
        <f t="shared" si="0"/>
        <v>25.599999999999998</v>
      </c>
      <c r="T11" s="6">
        <v>26.2</v>
      </c>
      <c r="U11" s="1">
        <f t="shared" si="1"/>
        <v>26.8</v>
      </c>
      <c r="AA11"/>
      <c r="AB11"/>
    </row>
    <row r="12" spans="1:28" x14ac:dyDescent="0.2">
      <c r="L12"/>
      <c r="M12" s="17"/>
      <c r="N12">
        <v>423</v>
      </c>
      <c r="O12">
        <v>2.7959999999999998</v>
      </c>
      <c r="P12" s="6">
        <v>25.2</v>
      </c>
      <c r="R12">
        <v>134.1</v>
      </c>
      <c r="S12" s="1">
        <f t="shared" si="0"/>
        <v>24.599999999999998</v>
      </c>
      <c r="T12" s="6">
        <v>25.2</v>
      </c>
      <c r="U12" s="1">
        <f t="shared" si="1"/>
        <v>25.8</v>
      </c>
      <c r="AA12"/>
      <c r="AB12"/>
    </row>
    <row r="13" spans="1:28" x14ac:dyDescent="0.2">
      <c r="L13"/>
      <c r="M13"/>
      <c r="N13">
        <v>429</v>
      </c>
      <c r="O13">
        <v>2.5219999999999998</v>
      </c>
      <c r="P13" s="6">
        <v>24.1</v>
      </c>
      <c r="R13">
        <v>136.19999999999999</v>
      </c>
      <c r="S13" s="1">
        <f t="shared" si="0"/>
        <v>23.5</v>
      </c>
      <c r="T13" s="6">
        <v>24.1</v>
      </c>
      <c r="U13" s="1">
        <f t="shared" si="1"/>
        <v>24.700000000000003</v>
      </c>
      <c r="AA13"/>
      <c r="AB13"/>
    </row>
    <row r="14" spans="1:28" ht="17" x14ac:dyDescent="0.25">
      <c r="L14"/>
      <c r="M14" s="26"/>
      <c r="N14">
        <v>434</v>
      </c>
      <c r="O14">
        <v>2.605</v>
      </c>
      <c r="P14" s="6">
        <v>24.4</v>
      </c>
      <c r="R14">
        <v>138</v>
      </c>
      <c r="S14" s="1">
        <f t="shared" si="0"/>
        <v>23.799999999999997</v>
      </c>
      <c r="T14" s="6">
        <v>24.4</v>
      </c>
      <c r="U14" s="1">
        <f t="shared" si="1"/>
        <v>25</v>
      </c>
      <c r="AA14"/>
      <c r="AB14"/>
    </row>
    <row r="15" spans="1:28" ht="17" x14ac:dyDescent="0.25">
      <c r="L15"/>
      <c r="M15" s="26"/>
      <c r="N15">
        <v>439</v>
      </c>
      <c r="O15">
        <v>2.4910000000000001</v>
      </c>
      <c r="P15" s="6">
        <v>23.9</v>
      </c>
      <c r="R15">
        <v>139.69999999999999</v>
      </c>
      <c r="S15" s="1">
        <f>T15-0.6</f>
        <v>23.299999999999997</v>
      </c>
      <c r="T15" s="6">
        <v>23.9</v>
      </c>
      <c r="U15" s="1">
        <f t="shared" si="1"/>
        <v>24.5</v>
      </c>
      <c r="AA15"/>
      <c r="AB15"/>
    </row>
    <row r="16" spans="1:28" ht="17" x14ac:dyDescent="0.25">
      <c r="L16"/>
      <c r="M16" s="26"/>
      <c r="R16"/>
      <c r="T16"/>
    </row>
    <row r="17" spans="12:20" ht="17" x14ac:dyDescent="0.25">
      <c r="L17"/>
      <c r="M17" s="26"/>
      <c r="R17"/>
      <c r="T17"/>
    </row>
    <row r="18" spans="12:20" ht="17" x14ac:dyDescent="0.25">
      <c r="L18"/>
      <c r="M18" s="26"/>
      <c r="R18"/>
      <c r="T18"/>
    </row>
    <row r="19" spans="12:20" ht="17" x14ac:dyDescent="0.25">
      <c r="L19"/>
      <c r="M19" s="26"/>
      <c r="R19"/>
      <c r="T19"/>
    </row>
    <row r="20" spans="12:20" ht="17" x14ac:dyDescent="0.25">
      <c r="L20"/>
      <c r="M20" s="26"/>
      <c r="R20"/>
      <c r="T20"/>
    </row>
    <row r="21" spans="12:20" ht="17" x14ac:dyDescent="0.25">
      <c r="L21"/>
      <c r="M21" s="26"/>
      <c r="R21"/>
      <c r="T21"/>
    </row>
    <row r="22" spans="12:20" ht="17" x14ac:dyDescent="0.25">
      <c r="L22"/>
      <c r="M22" s="26"/>
      <c r="R22"/>
      <c r="T22"/>
    </row>
    <row r="23" spans="12:20" ht="17" x14ac:dyDescent="0.25">
      <c r="L23"/>
      <c r="M23" s="26"/>
      <c r="R23"/>
      <c r="T23"/>
    </row>
    <row r="24" spans="12:20" ht="17" x14ac:dyDescent="0.25">
      <c r="L24"/>
      <c r="M24" s="26"/>
      <c r="R24"/>
      <c r="T24"/>
    </row>
    <row r="25" spans="12:20" ht="17" x14ac:dyDescent="0.25">
      <c r="L25"/>
      <c r="M25" s="26"/>
      <c r="R25"/>
      <c r="T25"/>
    </row>
    <row r="26" spans="12:20" ht="17" x14ac:dyDescent="0.25">
      <c r="L26"/>
      <c r="M26" s="26"/>
      <c r="R26"/>
      <c r="T26"/>
    </row>
    <row r="27" spans="12:20" ht="17" x14ac:dyDescent="0.25">
      <c r="L27"/>
      <c r="M27" s="26"/>
      <c r="R27"/>
      <c r="T27"/>
    </row>
    <row r="28" spans="12:20" x14ac:dyDescent="0.2">
      <c r="L28"/>
      <c r="M28"/>
      <c r="N28"/>
      <c r="O28"/>
      <c r="P28"/>
      <c r="R28"/>
      <c r="T28"/>
    </row>
    <row r="29" spans="12:20" x14ac:dyDescent="0.2">
      <c r="L29"/>
      <c r="M29"/>
      <c r="N29"/>
      <c r="O29"/>
      <c r="P29"/>
      <c r="R29"/>
      <c r="T29"/>
    </row>
    <row r="30" spans="12:20" x14ac:dyDescent="0.2">
      <c r="L30"/>
      <c r="M30"/>
      <c r="N30"/>
      <c r="O30"/>
      <c r="P30"/>
      <c r="R30"/>
      <c r="T30"/>
    </row>
    <row r="31" spans="12:20" x14ac:dyDescent="0.2">
      <c r="L31"/>
      <c r="M31"/>
      <c r="N31"/>
      <c r="O31"/>
      <c r="P31"/>
      <c r="R31"/>
      <c r="T31"/>
    </row>
    <row r="32" spans="12:20" x14ac:dyDescent="0.2">
      <c r="L32"/>
      <c r="M32"/>
      <c r="N32"/>
      <c r="O32"/>
      <c r="P32"/>
      <c r="R32"/>
      <c r="T32"/>
    </row>
    <row r="33" spans="12:20" x14ac:dyDescent="0.2">
      <c r="L33"/>
      <c r="M33"/>
      <c r="N33"/>
      <c r="O33"/>
      <c r="P33"/>
      <c r="R33"/>
      <c r="T33"/>
    </row>
    <row r="34" spans="12:20" x14ac:dyDescent="0.2">
      <c r="L34"/>
      <c r="M34"/>
      <c r="N34"/>
      <c r="O34"/>
      <c r="P34"/>
      <c r="R34"/>
      <c r="T34"/>
    </row>
    <row r="35" spans="12:20" x14ac:dyDescent="0.2">
      <c r="L35"/>
      <c r="M35"/>
      <c r="N35"/>
      <c r="O35"/>
      <c r="P35"/>
      <c r="R35"/>
      <c r="T35"/>
    </row>
    <row r="36" spans="12:20" x14ac:dyDescent="0.2">
      <c r="L36"/>
      <c r="M36"/>
      <c r="N36"/>
      <c r="O36"/>
      <c r="P36"/>
      <c r="R36"/>
      <c r="T36"/>
    </row>
    <row r="37" spans="12:20" x14ac:dyDescent="0.2">
      <c r="R37"/>
      <c r="T37"/>
    </row>
    <row r="38" spans="12:20" x14ac:dyDescent="0.2">
      <c r="R38"/>
      <c r="T38"/>
    </row>
    <row r="39" spans="12:20" x14ac:dyDescent="0.2">
      <c r="R39"/>
      <c r="T39"/>
    </row>
    <row r="40" spans="12:20" x14ac:dyDescent="0.2">
      <c r="R40"/>
      <c r="T40"/>
    </row>
    <row r="41" spans="12:20" x14ac:dyDescent="0.2">
      <c r="R41"/>
      <c r="T41"/>
    </row>
    <row r="42" spans="12:20" x14ac:dyDescent="0.2">
      <c r="R42"/>
      <c r="T42"/>
    </row>
    <row r="43" spans="12:20" x14ac:dyDescent="0.2">
      <c r="R43"/>
      <c r="T43"/>
    </row>
    <row r="44" spans="12:20" x14ac:dyDescent="0.2">
      <c r="R44"/>
      <c r="T44"/>
    </row>
    <row r="45" spans="12:20" x14ac:dyDescent="0.2">
      <c r="R45"/>
      <c r="T45"/>
    </row>
    <row r="46" spans="12:20" x14ac:dyDescent="0.2">
      <c r="R46"/>
      <c r="T46"/>
    </row>
    <row r="47" spans="12:20" x14ac:dyDescent="0.2">
      <c r="R47"/>
      <c r="T47"/>
    </row>
    <row r="48" spans="12: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3F153F94-C9D7-FE4C-9A41-70D9BA01E8C2}"/>
  </hyperlinks>
  <pageMargins left="0.75" right="0.75" top="1" bottom="1" header="0.5" footer="0.5"/>
  <pageSetup orientation="portrait" horizontalDpi="4294967292" verticalDpi="429496729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F9FD6-4A56-FD47-B953-BE8808D1EDE3}">
  <sheetPr>
    <tabColor rgb="FF0000FF"/>
  </sheetPr>
  <dimension ref="A1:AB200"/>
  <sheetViews>
    <sheetView topLeftCell="O1" zoomScale="75" workbookViewId="0">
      <selection activeCell="X3" sqref="X3"/>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8"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8" x14ac:dyDescent="0.2">
      <c r="A2" s="9" t="s">
        <v>122</v>
      </c>
      <c r="B2" s="12">
        <v>78</v>
      </c>
      <c r="C2" s="12">
        <v>2.67</v>
      </c>
      <c r="D2" s="10" t="s">
        <v>20</v>
      </c>
      <c r="E2" s="6"/>
      <c r="F2" s="6"/>
      <c r="G2" s="6"/>
      <c r="L2"/>
      <c r="M2"/>
      <c r="N2">
        <v>232</v>
      </c>
      <c r="O2">
        <v>3.8580000000000001</v>
      </c>
      <c r="P2" s="1"/>
      <c r="Q2" s="1"/>
      <c r="R2" s="1">
        <v>116133.3</v>
      </c>
      <c r="S2" s="1"/>
      <c r="T2">
        <v>27.885999999999999</v>
      </c>
      <c r="U2" s="1"/>
      <c r="V2" s="6" t="s">
        <v>123</v>
      </c>
      <c r="W2" s="13" t="s">
        <v>124</v>
      </c>
      <c r="X2" s="6" t="s">
        <v>126</v>
      </c>
      <c r="Y2" s="6" t="s">
        <v>125</v>
      </c>
      <c r="Z2">
        <v>-3500</v>
      </c>
      <c r="AA2"/>
      <c r="AB2"/>
    </row>
    <row r="3" spans="1:28" x14ac:dyDescent="0.2">
      <c r="E3" s="6"/>
      <c r="F3" s="6"/>
      <c r="G3" s="6"/>
      <c r="L3"/>
      <c r="M3"/>
      <c r="N3">
        <v>234</v>
      </c>
      <c r="O3">
        <v>4.0979999999999999</v>
      </c>
      <c r="P3" s="1"/>
      <c r="Q3" s="1"/>
      <c r="R3" s="1">
        <v>117600</v>
      </c>
      <c r="S3" s="1"/>
      <c r="T3">
        <v>28.556999999999999</v>
      </c>
      <c r="U3" s="1"/>
      <c r="AA3"/>
      <c r="AB3"/>
    </row>
    <row r="4" spans="1:28" x14ac:dyDescent="0.2">
      <c r="E4" s="6"/>
      <c r="F4" s="6"/>
      <c r="G4" s="6"/>
      <c r="L4"/>
      <c r="M4"/>
      <c r="N4">
        <v>236</v>
      </c>
      <c r="O4">
        <v>4.46</v>
      </c>
      <c r="P4" s="1"/>
      <c r="Q4" s="1"/>
      <c r="R4" s="1">
        <v>119066.7</v>
      </c>
      <c r="S4" s="1"/>
      <c r="T4">
        <v>29.498999999999999</v>
      </c>
      <c r="U4" s="1"/>
      <c r="AA4"/>
      <c r="AB4"/>
    </row>
    <row r="5" spans="1:28" x14ac:dyDescent="0.2">
      <c r="E5" s="6"/>
      <c r="F5" s="6"/>
      <c r="G5" s="6"/>
      <c r="L5"/>
      <c r="M5"/>
      <c r="N5">
        <v>238</v>
      </c>
      <c r="O5">
        <v>4.0069999999999997</v>
      </c>
      <c r="P5" s="1"/>
      <c r="Q5" s="1"/>
      <c r="R5" s="1">
        <v>120533.3</v>
      </c>
      <c r="S5" s="1"/>
      <c r="T5">
        <v>28.308</v>
      </c>
      <c r="U5" s="1"/>
      <c r="AA5"/>
      <c r="AB5"/>
    </row>
    <row r="6" spans="1:28" x14ac:dyDescent="0.2">
      <c r="L6"/>
      <c r="M6"/>
      <c r="N6">
        <v>240</v>
      </c>
      <c r="O6">
        <v>4.6369999999999996</v>
      </c>
      <c r="P6" s="1"/>
      <c r="Q6" s="1"/>
      <c r="R6" s="1">
        <v>122000</v>
      </c>
      <c r="S6" s="1"/>
      <c r="T6">
        <v>29.931999999999999</v>
      </c>
      <c r="U6" s="1"/>
      <c r="AA6"/>
      <c r="AB6"/>
    </row>
    <row r="7" spans="1:28" x14ac:dyDescent="0.2">
      <c r="L7"/>
      <c r="M7"/>
      <c r="N7">
        <v>244</v>
      </c>
      <c r="O7">
        <v>4.3449999999999998</v>
      </c>
      <c r="P7" s="1"/>
      <c r="Q7" s="1"/>
      <c r="R7" s="1">
        <v>124000</v>
      </c>
      <c r="S7" s="1"/>
      <c r="T7">
        <v>29.207000000000001</v>
      </c>
      <c r="U7" s="1"/>
      <c r="AA7"/>
      <c r="AB7"/>
    </row>
    <row r="8" spans="1:28" x14ac:dyDescent="0.2">
      <c r="L8"/>
      <c r="M8"/>
      <c r="N8">
        <v>246</v>
      </c>
      <c r="O8">
        <v>4.0750000000000002</v>
      </c>
      <c r="P8" s="1"/>
      <c r="Q8" s="1"/>
      <c r="R8" s="1">
        <v>125000</v>
      </c>
      <c r="S8" s="1"/>
      <c r="T8">
        <v>28.495999999999999</v>
      </c>
      <c r="U8" s="1"/>
      <c r="AA8"/>
      <c r="AB8"/>
    </row>
    <row r="9" spans="1:28" x14ac:dyDescent="0.2">
      <c r="L9"/>
      <c r="M9"/>
      <c r="N9">
        <v>248</v>
      </c>
      <c r="O9">
        <v>4.2119999999999997</v>
      </c>
      <c r="P9" s="1"/>
      <c r="Q9" s="1"/>
      <c r="R9" s="1">
        <v>126000</v>
      </c>
      <c r="S9" s="1"/>
      <c r="T9">
        <v>28.864000000000001</v>
      </c>
      <c r="U9" s="1"/>
      <c r="AA9"/>
      <c r="AB9"/>
    </row>
    <row r="10" spans="1:28" x14ac:dyDescent="0.2">
      <c r="L10"/>
      <c r="M10"/>
      <c r="N10">
        <v>250</v>
      </c>
      <c r="O10">
        <v>4.0679999999999996</v>
      </c>
      <c r="P10" s="1"/>
      <c r="Q10" s="1"/>
      <c r="R10" s="1">
        <v>127000</v>
      </c>
      <c r="S10" s="1"/>
      <c r="T10">
        <v>28.477</v>
      </c>
      <c r="U10" s="1"/>
      <c r="AA10"/>
      <c r="AB10"/>
    </row>
    <row r="11" spans="1:28" x14ac:dyDescent="0.2">
      <c r="L11"/>
      <c r="M11"/>
      <c r="N11">
        <v>252</v>
      </c>
      <c r="O11">
        <v>3.819</v>
      </c>
      <c r="P11" s="1"/>
      <c r="Q11" s="1"/>
      <c r="R11" s="1">
        <v>128333.3</v>
      </c>
      <c r="S11" s="1"/>
      <c r="T11">
        <v>27.776</v>
      </c>
      <c r="U11" s="1"/>
      <c r="AA11"/>
      <c r="AB11"/>
    </row>
    <row r="12" spans="1:28" x14ac:dyDescent="0.2">
      <c r="L12"/>
      <c r="M12"/>
      <c r="N12">
        <v>254</v>
      </c>
      <c r="O12">
        <v>3.8660000000000001</v>
      </c>
      <c r="P12" s="1"/>
      <c r="Q12" s="1"/>
      <c r="R12" s="1">
        <v>129666.7</v>
      </c>
      <c r="S12" s="1"/>
      <c r="T12">
        <v>27.91</v>
      </c>
      <c r="U12" s="1"/>
      <c r="AA12"/>
      <c r="AB12"/>
    </row>
    <row r="13" spans="1:28" x14ac:dyDescent="0.2">
      <c r="L13"/>
      <c r="M13"/>
      <c r="N13">
        <v>256</v>
      </c>
      <c r="O13">
        <v>3.6909999999999998</v>
      </c>
      <c r="P13" s="1"/>
      <c r="Q13" s="1"/>
      <c r="R13" s="1">
        <v>131000</v>
      </c>
      <c r="S13" s="1"/>
      <c r="T13">
        <v>27.396999999999998</v>
      </c>
      <c r="U13" s="1"/>
      <c r="AA13"/>
      <c r="AB13"/>
    </row>
    <row r="14" spans="1:28" x14ac:dyDescent="0.2">
      <c r="L14"/>
      <c r="M14"/>
      <c r="N14">
        <v>258</v>
      </c>
      <c r="O14">
        <v>3.6469999999999998</v>
      </c>
      <c r="P14" s="1"/>
      <c r="Q14" s="1"/>
      <c r="R14" s="1">
        <v>131800</v>
      </c>
      <c r="S14" s="1"/>
      <c r="T14">
        <v>27.262</v>
      </c>
      <c r="U14" s="1"/>
      <c r="AA14"/>
      <c r="AB14"/>
    </row>
    <row r="15" spans="1:28" x14ac:dyDescent="0.2">
      <c r="L15"/>
      <c r="M15"/>
      <c r="N15">
        <v>260</v>
      </c>
      <c r="O15">
        <v>3.6579999999999999</v>
      </c>
      <c r="P15" s="1"/>
      <c r="Q15" s="1"/>
      <c r="R15" s="1">
        <v>132600</v>
      </c>
      <c r="S15" s="1"/>
      <c r="T15">
        <v>27.295999999999999</v>
      </c>
      <c r="U15" s="1"/>
      <c r="AA15"/>
      <c r="AB15"/>
    </row>
    <row r="16" spans="1:28" x14ac:dyDescent="0.2">
      <c r="L16"/>
      <c r="M16"/>
      <c r="N16">
        <v>262</v>
      </c>
      <c r="O16">
        <v>3.8759999999999999</v>
      </c>
      <c r="P16" s="1"/>
      <c r="Q16" s="1"/>
      <c r="R16" s="1">
        <v>133400</v>
      </c>
      <c r="S16" s="1"/>
      <c r="T16">
        <v>27.94</v>
      </c>
      <c r="U16" s="1"/>
    </row>
    <row r="17" spans="12:21" x14ac:dyDescent="0.2">
      <c r="L17"/>
      <c r="M17"/>
      <c r="N17">
        <v>264</v>
      </c>
      <c r="O17">
        <v>3.6909999999999998</v>
      </c>
      <c r="P17" s="1"/>
      <c r="Q17" s="1"/>
      <c r="R17" s="1">
        <v>134200</v>
      </c>
      <c r="S17" s="1"/>
      <c r="T17">
        <v>27.396000000000001</v>
      </c>
      <c r="U17" s="1"/>
    </row>
    <row r="18" spans="12:21" x14ac:dyDescent="0.2">
      <c r="L18"/>
      <c r="M18"/>
      <c r="N18">
        <v>266</v>
      </c>
      <c r="O18">
        <v>3.67</v>
      </c>
      <c r="P18" s="1"/>
      <c r="Q18" s="1"/>
      <c r="R18" s="1">
        <v>135000</v>
      </c>
      <c r="S18" s="1"/>
      <c r="T18">
        <v>27.331</v>
      </c>
      <c r="U18" s="1"/>
    </row>
    <row r="19" spans="12:21" x14ac:dyDescent="0.2">
      <c r="L19"/>
      <c r="M19"/>
      <c r="N19">
        <v>268</v>
      </c>
      <c r="O19">
        <v>3.7519999999999998</v>
      </c>
      <c r="P19" s="1"/>
      <c r="Q19" s="1"/>
      <c r="R19" s="1">
        <v>136166.70000000001</v>
      </c>
      <c r="S19" s="1"/>
      <c r="T19">
        <v>27.577999999999999</v>
      </c>
      <c r="U19" s="1"/>
    </row>
    <row r="20" spans="12:21" x14ac:dyDescent="0.2">
      <c r="L20"/>
      <c r="M20"/>
      <c r="N20">
        <v>270</v>
      </c>
      <c r="O20">
        <v>3.6269999999999998</v>
      </c>
      <c r="P20" s="1"/>
      <c r="Q20" s="1"/>
      <c r="R20" s="1">
        <v>137333.29999999999</v>
      </c>
      <c r="S20" s="1"/>
      <c r="T20">
        <v>27.202000000000002</v>
      </c>
      <c r="U20" s="1"/>
    </row>
    <row r="21" spans="12:21" x14ac:dyDescent="0.2">
      <c r="L21"/>
      <c r="M21"/>
      <c r="N21" s="1"/>
      <c r="O21" s="1"/>
      <c r="P21" s="1"/>
      <c r="Q21" s="1"/>
      <c r="R21" s="1"/>
      <c r="S21" s="1"/>
      <c r="T21" s="1"/>
      <c r="U21" s="1"/>
    </row>
    <row r="22" spans="12:21" x14ac:dyDescent="0.2">
      <c r="L22"/>
      <c r="M22"/>
      <c r="N22"/>
      <c r="O22"/>
      <c r="P22"/>
      <c r="R22"/>
      <c r="T22"/>
    </row>
    <row r="23" spans="12:21" x14ac:dyDescent="0.2">
      <c r="L23"/>
      <c r="M23"/>
      <c r="N23"/>
      <c r="O23"/>
      <c r="P23"/>
      <c r="R23"/>
      <c r="T23"/>
    </row>
    <row r="24" spans="12:21" x14ac:dyDescent="0.2">
      <c r="P24"/>
      <c r="R24"/>
      <c r="T24"/>
    </row>
    <row r="25" spans="12:21" x14ac:dyDescent="0.2">
      <c r="P25"/>
      <c r="R25"/>
      <c r="T25"/>
    </row>
    <row r="26" spans="12:21" x14ac:dyDescent="0.2">
      <c r="P26"/>
      <c r="R26"/>
      <c r="T26"/>
    </row>
    <row r="27" spans="12:21" x14ac:dyDescent="0.2">
      <c r="P27"/>
      <c r="R27"/>
      <c r="T27"/>
    </row>
    <row r="28" spans="12:21" x14ac:dyDescent="0.2">
      <c r="P28"/>
      <c r="R28"/>
      <c r="T28"/>
    </row>
    <row r="29" spans="12:21" x14ac:dyDescent="0.2">
      <c r="P29"/>
      <c r="R29"/>
      <c r="T29"/>
    </row>
    <row r="30" spans="12:21" x14ac:dyDescent="0.2">
      <c r="P30"/>
      <c r="R30"/>
      <c r="T30"/>
    </row>
    <row r="31" spans="12:21" x14ac:dyDescent="0.2">
      <c r="P31"/>
      <c r="R31"/>
      <c r="T31"/>
    </row>
    <row r="32" spans="12:21" x14ac:dyDescent="0.2">
      <c r="P32"/>
      <c r="R32"/>
      <c r="T32"/>
    </row>
    <row r="33" spans="16:20" x14ac:dyDescent="0.2">
      <c r="P33"/>
      <c r="R33"/>
      <c r="T33"/>
    </row>
    <row r="34" spans="16:20" x14ac:dyDescent="0.2">
      <c r="P34"/>
      <c r="R34"/>
      <c r="T34"/>
    </row>
    <row r="35" spans="16:20" x14ac:dyDescent="0.2">
      <c r="P35"/>
      <c r="R35"/>
      <c r="T35"/>
    </row>
    <row r="36" spans="16:20" x14ac:dyDescent="0.2">
      <c r="P36"/>
      <c r="R36"/>
      <c r="T36"/>
    </row>
    <row r="37" spans="16:20" x14ac:dyDescent="0.2">
      <c r="R37"/>
      <c r="T37"/>
    </row>
    <row r="38" spans="16:20" x14ac:dyDescent="0.2">
      <c r="R38"/>
      <c r="T38"/>
    </row>
    <row r="39" spans="16:20" x14ac:dyDescent="0.2">
      <c r="R39"/>
      <c r="T39"/>
    </row>
    <row r="40" spans="16:20" x14ac:dyDescent="0.2">
      <c r="R40"/>
      <c r="T40"/>
    </row>
    <row r="41" spans="16:20" x14ac:dyDescent="0.2">
      <c r="R41"/>
      <c r="T41"/>
    </row>
    <row r="42" spans="16:20" x14ac:dyDescent="0.2">
      <c r="R42"/>
      <c r="T42"/>
    </row>
    <row r="43" spans="16:20" x14ac:dyDescent="0.2">
      <c r="R43"/>
      <c r="T43"/>
    </row>
    <row r="44" spans="16:20" x14ac:dyDescent="0.2">
      <c r="R44"/>
      <c r="T44"/>
    </row>
    <row r="45" spans="16:20" x14ac:dyDescent="0.2">
      <c r="R45"/>
      <c r="T45"/>
    </row>
    <row r="46" spans="16:20" x14ac:dyDescent="0.2">
      <c r="R46"/>
      <c r="T46"/>
    </row>
    <row r="47" spans="16:20" x14ac:dyDescent="0.2">
      <c r="R47"/>
      <c r="T47"/>
    </row>
    <row r="48" spans="16:20" x14ac:dyDescent="0.2">
      <c r="R48"/>
      <c r="T48"/>
    </row>
    <row r="49" spans="18:20" x14ac:dyDescent="0.2">
      <c r="R49"/>
      <c r="T49"/>
    </row>
    <row r="50" spans="18:20" x14ac:dyDescent="0.2">
      <c r="R50"/>
      <c r="T50"/>
    </row>
    <row r="51" spans="18:20" x14ac:dyDescent="0.2">
      <c r="R51"/>
      <c r="T51"/>
    </row>
    <row r="52" spans="18:20" x14ac:dyDescent="0.2">
      <c r="R52"/>
      <c r="T52"/>
    </row>
    <row r="53" spans="18:20" x14ac:dyDescent="0.2">
      <c r="R53"/>
      <c r="T53"/>
    </row>
    <row r="54" spans="18:20" x14ac:dyDescent="0.2">
      <c r="R54"/>
      <c r="T54"/>
    </row>
    <row r="55" spans="18:20" x14ac:dyDescent="0.2">
      <c r="R55"/>
      <c r="T55"/>
    </row>
    <row r="56" spans="18:20" x14ac:dyDescent="0.2">
      <c r="R56"/>
      <c r="T56"/>
    </row>
    <row r="57" spans="18:20" x14ac:dyDescent="0.2">
      <c r="R57"/>
      <c r="T57"/>
    </row>
    <row r="58" spans="18:20" x14ac:dyDescent="0.2">
      <c r="R58"/>
      <c r="T58"/>
    </row>
    <row r="59" spans="18:20" x14ac:dyDescent="0.2">
      <c r="R59"/>
      <c r="T59"/>
    </row>
    <row r="60" spans="18:20" x14ac:dyDescent="0.2">
      <c r="R60"/>
      <c r="T60"/>
    </row>
    <row r="61" spans="18:20" x14ac:dyDescent="0.2">
      <c r="R61"/>
      <c r="T61"/>
    </row>
    <row r="62" spans="18:20" x14ac:dyDescent="0.2">
      <c r="R62"/>
      <c r="T62"/>
    </row>
    <row r="63" spans="18:20" x14ac:dyDescent="0.2">
      <c r="R63"/>
      <c r="T63"/>
    </row>
    <row r="64" spans="18:20" x14ac:dyDescent="0.2">
      <c r="R64"/>
      <c r="T64"/>
    </row>
    <row r="65" spans="18:20" x14ac:dyDescent="0.2">
      <c r="R65"/>
      <c r="T65"/>
    </row>
    <row r="66" spans="18:20" x14ac:dyDescent="0.2">
      <c r="R66"/>
      <c r="T66"/>
    </row>
    <row r="67" spans="18:20" x14ac:dyDescent="0.2">
      <c r="R67"/>
      <c r="T67"/>
    </row>
    <row r="68" spans="18:20" x14ac:dyDescent="0.2">
      <c r="R68"/>
      <c r="T68"/>
    </row>
    <row r="69" spans="18:20" x14ac:dyDescent="0.2">
      <c r="R69"/>
      <c r="T69"/>
    </row>
    <row r="70" spans="18:20" x14ac:dyDescent="0.2">
      <c r="R70"/>
      <c r="T70"/>
    </row>
    <row r="71" spans="18:20" x14ac:dyDescent="0.2">
      <c r="R71"/>
      <c r="T71"/>
    </row>
    <row r="72" spans="18:20" x14ac:dyDescent="0.2">
      <c r="R72"/>
      <c r="T72"/>
    </row>
    <row r="73" spans="18:20" x14ac:dyDescent="0.2">
      <c r="R73"/>
      <c r="T73"/>
    </row>
    <row r="74" spans="18:20" x14ac:dyDescent="0.2">
      <c r="R74"/>
      <c r="T74"/>
    </row>
    <row r="75" spans="18:20" x14ac:dyDescent="0.2">
      <c r="R75"/>
      <c r="T75"/>
    </row>
    <row r="76" spans="18:20" x14ac:dyDescent="0.2">
      <c r="R76"/>
      <c r="T76"/>
    </row>
    <row r="77" spans="18:20" x14ac:dyDescent="0.2">
      <c r="R77"/>
      <c r="T77"/>
    </row>
    <row r="78" spans="18:20" x14ac:dyDescent="0.2">
      <c r="R78"/>
      <c r="T78"/>
    </row>
    <row r="79" spans="18:20" x14ac:dyDescent="0.2">
      <c r="R79"/>
      <c r="T79"/>
    </row>
    <row r="80" spans="18:20" x14ac:dyDescent="0.2">
      <c r="R80"/>
      <c r="T80"/>
    </row>
    <row r="81" spans="18:20" x14ac:dyDescent="0.2">
      <c r="R81"/>
      <c r="T81"/>
    </row>
    <row r="82" spans="18:20" x14ac:dyDescent="0.2">
      <c r="R82"/>
      <c r="T82"/>
    </row>
    <row r="83" spans="18:20" x14ac:dyDescent="0.2">
      <c r="R83"/>
      <c r="T83"/>
    </row>
    <row r="84" spans="18:20" x14ac:dyDescent="0.2">
      <c r="R84"/>
      <c r="T84"/>
    </row>
    <row r="85" spans="18:20" x14ac:dyDescent="0.2">
      <c r="R85"/>
      <c r="T85"/>
    </row>
    <row r="86" spans="18:20" x14ac:dyDescent="0.2">
      <c r="R86"/>
      <c r="T86"/>
    </row>
    <row r="87" spans="18:20" x14ac:dyDescent="0.2">
      <c r="R87"/>
      <c r="T87"/>
    </row>
    <row r="88" spans="18:20" x14ac:dyDescent="0.2">
      <c r="R88"/>
      <c r="T88"/>
    </row>
    <row r="89" spans="18:20" x14ac:dyDescent="0.2">
      <c r="R89"/>
      <c r="T89"/>
    </row>
    <row r="90" spans="18:20" x14ac:dyDescent="0.2">
      <c r="R90"/>
      <c r="T90"/>
    </row>
    <row r="91" spans="18:20" x14ac:dyDescent="0.2">
      <c r="R91"/>
      <c r="T91"/>
    </row>
    <row r="92" spans="18:20" x14ac:dyDescent="0.2">
      <c r="R92"/>
      <c r="T92"/>
    </row>
    <row r="93" spans="18:20" x14ac:dyDescent="0.2">
      <c r="R93"/>
      <c r="T93"/>
    </row>
    <row r="94" spans="18:20" x14ac:dyDescent="0.2">
      <c r="R94"/>
      <c r="T94"/>
    </row>
    <row r="95" spans="18:20" x14ac:dyDescent="0.2">
      <c r="R95"/>
      <c r="T95"/>
    </row>
    <row r="96" spans="18:20" x14ac:dyDescent="0.2">
      <c r="R96"/>
      <c r="T96"/>
    </row>
    <row r="97" spans="18:20" x14ac:dyDescent="0.2">
      <c r="R97"/>
      <c r="T97"/>
    </row>
    <row r="171" spans="12:13" x14ac:dyDescent="0.2">
      <c r="L171" s="11">
        <v>895.5</v>
      </c>
      <c r="M171" s="11">
        <v>4.4800000000000004</v>
      </c>
    </row>
    <row r="172" spans="12:13" x14ac:dyDescent="0.2">
      <c r="L172" s="11">
        <v>896.5</v>
      </c>
      <c r="M172" s="11">
        <v>4.42</v>
      </c>
    </row>
    <row r="173" spans="12:13" x14ac:dyDescent="0.2">
      <c r="L173" s="11">
        <v>897.5</v>
      </c>
      <c r="M173" s="11">
        <v>4.53</v>
      </c>
    </row>
    <row r="174" spans="12:13" x14ac:dyDescent="0.2">
      <c r="L174" s="11">
        <v>898.5</v>
      </c>
      <c r="M174" s="11">
        <v>4.59</v>
      </c>
    </row>
    <row r="175" spans="12:13" x14ac:dyDescent="0.2">
      <c r="L175" s="11">
        <v>899.5</v>
      </c>
      <c r="M175" s="11">
        <v>4.8600000000000003</v>
      </c>
    </row>
    <row r="176" spans="12:13" x14ac:dyDescent="0.2">
      <c r="L176" s="11">
        <v>900.5</v>
      </c>
      <c r="M176" s="11">
        <v>5.01</v>
      </c>
    </row>
    <row r="177" spans="12:13" x14ac:dyDescent="0.2">
      <c r="L177" s="11">
        <v>901.5</v>
      </c>
      <c r="M177" s="11">
        <v>5.03</v>
      </c>
    </row>
    <row r="178" spans="12:13" x14ac:dyDescent="0.2">
      <c r="L178" s="11">
        <v>902.5</v>
      </c>
      <c r="M178" s="11">
        <v>4.95</v>
      </c>
    </row>
    <row r="179" spans="12:13" x14ac:dyDescent="0.2">
      <c r="L179" s="11">
        <v>903.5</v>
      </c>
      <c r="M179" s="11">
        <v>5.05</v>
      </c>
    </row>
    <row r="180" spans="12:13" x14ac:dyDescent="0.2">
      <c r="L180" s="11">
        <v>904.5</v>
      </c>
      <c r="M180" s="11">
        <v>5.05</v>
      </c>
    </row>
    <row r="181" spans="12:13" x14ac:dyDescent="0.2">
      <c r="L181" s="11">
        <v>905.5</v>
      </c>
      <c r="M181" s="11">
        <v>5.07</v>
      </c>
    </row>
    <row r="182" spans="12:13" x14ac:dyDescent="0.2">
      <c r="L182" s="11">
        <v>907.5</v>
      </c>
      <c r="M182" s="11">
        <v>4.84</v>
      </c>
    </row>
    <row r="183" spans="12:13" x14ac:dyDescent="0.2">
      <c r="L183" s="11">
        <v>908.5</v>
      </c>
      <c r="M183" s="11">
        <v>4.9000000000000004</v>
      </c>
    </row>
    <row r="184" spans="12:13" x14ac:dyDescent="0.2">
      <c r="L184" s="11">
        <v>909.5</v>
      </c>
      <c r="M184" s="11">
        <v>4.88</v>
      </c>
    </row>
    <row r="185" spans="12:13" x14ac:dyDescent="0.2">
      <c r="L185" s="11">
        <v>910.5</v>
      </c>
      <c r="M185" s="11">
        <v>4.7699999999999996</v>
      </c>
    </row>
    <row r="186" spans="12:13" x14ac:dyDescent="0.2">
      <c r="L186" s="11">
        <v>913.5</v>
      </c>
      <c r="M186" s="11">
        <v>4.7300000000000004</v>
      </c>
    </row>
    <row r="187" spans="12:13" x14ac:dyDescent="0.2">
      <c r="L187" s="11">
        <v>914.5</v>
      </c>
      <c r="M187" s="11">
        <v>4.63</v>
      </c>
    </row>
    <row r="188" spans="12:13" x14ac:dyDescent="0.2">
      <c r="L188" s="11">
        <v>915.5</v>
      </c>
      <c r="M188" s="11">
        <v>4.45</v>
      </c>
    </row>
    <row r="189" spans="12:13" x14ac:dyDescent="0.2">
      <c r="L189" s="11">
        <v>916.5</v>
      </c>
      <c r="M189" s="11">
        <v>4.47</v>
      </c>
    </row>
    <row r="190" spans="12:13" x14ac:dyDescent="0.2">
      <c r="L190" s="11">
        <v>917.5</v>
      </c>
      <c r="M190" s="11">
        <v>4.41</v>
      </c>
    </row>
    <row r="191" spans="12:13" x14ac:dyDescent="0.2">
      <c r="L191" s="11">
        <v>918.5</v>
      </c>
      <c r="M191" s="11">
        <v>4.41</v>
      </c>
    </row>
    <row r="192" spans="12:13" x14ac:dyDescent="0.2">
      <c r="L192" s="11">
        <v>919.5</v>
      </c>
      <c r="M192" s="11">
        <v>4.59</v>
      </c>
    </row>
    <row r="193" spans="12:13" x14ac:dyDescent="0.2">
      <c r="L193" s="11">
        <v>920.5</v>
      </c>
      <c r="M193" s="11">
        <v>4.53</v>
      </c>
    </row>
    <row r="194" spans="12:13" x14ac:dyDescent="0.2">
      <c r="L194" s="11">
        <v>921.5</v>
      </c>
      <c r="M194" s="11">
        <v>4.67</v>
      </c>
    </row>
    <row r="195" spans="12:13" x14ac:dyDescent="0.2">
      <c r="L195" s="11">
        <v>922.5</v>
      </c>
      <c r="M195" s="11">
        <v>4.74</v>
      </c>
    </row>
    <row r="196" spans="12:13" x14ac:dyDescent="0.2">
      <c r="L196" s="11">
        <v>923.5</v>
      </c>
      <c r="M196" s="11">
        <v>4.96</v>
      </c>
    </row>
    <row r="197" spans="12:13" x14ac:dyDescent="0.2">
      <c r="L197" s="11">
        <v>924.5</v>
      </c>
      <c r="M197" s="11">
        <v>5.05</v>
      </c>
    </row>
    <row r="198" spans="12:13" x14ac:dyDescent="0.2">
      <c r="L198" s="11">
        <v>925.5</v>
      </c>
      <c r="M198" s="11">
        <v>5.19</v>
      </c>
    </row>
    <row r="199" spans="12:13" x14ac:dyDescent="0.2">
      <c r="L199" s="11">
        <v>926.5</v>
      </c>
      <c r="M199" s="11">
        <v>5.41</v>
      </c>
    </row>
    <row r="200" spans="12:13" x14ac:dyDescent="0.2">
      <c r="L200" s="11">
        <v>927.5</v>
      </c>
      <c r="M200" s="11">
        <v>5.43</v>
      </c>
    </row>
  </sheetData>
  <hyperlinks>
    <hyperlink ref="W2" r:id="rId1" xr:uid="{0ED86CE3-B606-3A40-8D05-8D21FF72A6C4}"/>
  </hyperlinks>
  <pageMargins left="0.75" right="0.75" top="1" bottom="1" header="0.5" footer="0.5"/>
  <pageSetup orientation="portrait" horizontalDpi="4294967292" verticalDpi="429496729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5"/>
  <sheetViews>
    <sheetView zoomScale="50" workbookViewId="0">
      <selection activeCell="C12" sqref="C12"/>
    </sheetView>
  </sheetViews>
  <sheetFormatPr baseColWidth="10" defaultColWidth="13.42578125" defaultRowHeight="16" x14ac:dyDescent="0.2"/>
  <cols>
    <col min="1" max="4" width="13.42578125" style="6"/>
    <col min="5" max="11" width="0" style="11" hidden="1" customWidth="1"/>
    <col min="12" max="16" width="13.42578125" style="11"/>
    <col min="17" max="16384" width="13.42578125" style="6"/>
  </cols>
  <sheetData>
    <row r="1" spans="1:26" s="8" customFormat="1" ht="47" customHeight="1" x14ac:dyDescent="0.2">
      <c r="A1" s="7" t="s">
        <v>12</v>
      </c>
      <c r="B1" s="7" t="s">
        <v>5</v>
      </c>
      <c r="C1" s="7" t="s">
        <v>13</v>
      </c>
      <c r="D1" s="7" t="s">
        <v>14</v>
      </c>
      <c r="E1" s="5" t="s">
        <v>6</v>
      </c>
      <c r="F1" s="5" t="s">
        <v>7</v>
      </c>
      <c r="G1" s="5" t="s">
        <v>8</v>
      </c>
      <c r="H1" s="5" t="s">
        <v>1</v>
      </c>
      <c r="I1" s="5" t="s">
        <v>2</v>
      </c>
      <c r="J1" s="5" t="s">
        <v>3</v>
      </c>
      <c r="K1" s="5" t="s">
        <v>4</v>
      </c>
      <c r="L1" s="5" t="s">
        <v>10</v>
      </c>
      <c r="M1" s="5" t="s">
        <v>24</v>
      </c>
      <c r="N1" s="5" t="s">
        <v>0</v>
      </c>
      <c r="O1" s="5" t="s">
        <v>23</v>
      </c>
      <c r="P1" s="5" t="s">
        <v>15</v>
      </c>
      <c r="Q1" s="5" t="s">
        <v>16</v>
      </c>
      <c r="R1" s="5" t="s">
        <v>9</v>
      </c>
      <c r="S1" s="5" t="s">
        <v>17</v>
      </c>
      <c r="T1" s="5" t="s">
        <v>18</v>
      </c>
      <c r="U1" s="5" t="s">
        <v>19</v>
      </c>
      <c r="V1" s="8" t="s">
        <v>45</v>
      </c>
      <c r="W1" s="8" t="s">
        <v>43</v>
      </c>
      <c r="X1" s="8" t="s">
        <v>50</v>
      </c>
      <c r="Y1" s="8" t="s">
        <v>48</v>
      </c>
      <c r="Z1" s="8" t="s">
        <v>55</v>
      </c>
    </row>
    <row r="2" spans="1:26" x14ac:dyDescent="0.2">
      <c r="A2" s="9"/>
      <c r="B2" s="10"/>
      <c r="C2" s="10"/>
      <c r="D2" s="10"/>
      <c r="E2" s="6"/>
      <c r="F2" s="6"/>
      <c r="G2" s="6"/>
    </row>
    <row r="3" spans="1:26" x14ac:dyDescent="0.2">
      <c r="E3" s="6"/>
      <c r="F3" s="6"/>
      <c r="G3" s="6"/>
    </row>
    <row r="4" spans="1:26" x14ac:dyDescent="0.2">
      <c r="E4" s="6"/>
      <c r="F4" s="6"/>
      <c r="G4" s="6"/>
    </row>
    <row r="5" spans="1:26" x14ac:dyDescent="0.2">
      <c r="E5" s="6"/>
      <c r="F5" s="6"/>
      <c r="G5" s="6"/>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26</vt:i4>
      </vt:variant>
    </vt:vector>
  </HeadingPairs>
  <TitlesOfParts>
    <vt:vector size="26" baseType="lpstr">
      <vt:lpstr>TEMPLATE</vt:lpstr>
      <vt:lpstr>ODP1148_TEX86</vt:lpstr>
      <vt:lpstr>ODP1148_UK37</vt:lpstr>
      <vt:lpstr>IODP-U1446</vt:lpstr>
      <vt:lpstr>KNR191_CDH19</vt:lpstr>
      <vt:lpstr>ODP1016C</vt:lpstr>
      <vt:lpstr>ODP1014A</vt:lpstr>
      <vt:lpstr>ODP999A</vt:lpstr>
      <vt:lpstr>U939</vt:lpstr>
      <vt:lpstr>SO136-111</vt:lpstr>
      <vt:lpstr>MD02-2575</vt:lpstr>
      <vt:lpstr>RC10-62</vt:lpstr>
      <vt:lpstr>RC13-110</vt:lpstr>
      <vt:lpstr>RC13-115</vt:lpstr>
      <vt:lpstr>V19-29</vt:lpstr>
      <vt:lpstr>VNTR1-8</vt:lpstr>
      <vt:lpstr>Y69-106P</vt:lpstr>
      <vt:lpstr>Y69-71P</vt:lpstr>
      <vt:lpstr>Y71-3-2</vt:lpstr>
      <vt:lpstr>Y71-9-101</vt:lpstr>
      <vt:lpstr>Y71-6-12</vt:lpstr>
      <vt:lpstr>ODP1239</vt:lpstr>
      <vt:lpstr>NH22P</vt:lpstr>
      <vt:lpstr>TR163-19</vt:lpstr>
      <vt:lpstr>SK157-4</vt:lpstr>
      <vt:lpstr>Sample</vt:lpstr>
    </vt:vector>
  </TitlesOfParts>
  <Company>Oregon State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Hoffman</dc:creator>
  <cp:lastModifiedBy>Anna Chen</cp:lastModifiedBy>
  <cp:lastPrinted>2016-08-02T02:10:43Z</cp:lastPrinted>
  <dcterms:created xsi:type="dcterms:W3CDTF">2016-07-29T21:52:57Z</dcterms:created>
  <dcterms:modified xsi:type="dcterms:W3CDTF">2026-07-20T17:39:31Z</dcterms:modified>
</cp:coreProperties>
</file>