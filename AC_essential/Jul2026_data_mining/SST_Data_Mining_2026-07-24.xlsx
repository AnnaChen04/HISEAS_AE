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nnachen04/Documents/Columbia/HISEAS/SST-RSOI-Git/AC_essential/Jul2026_data_mining/"/>
    </mc:Choice>
  </mc:AlternateContent>
  <xr:revisionPtr revIDLastSave="0" documentId="13_ncr:1_{FDA15BF8-BF98-1441-965B-1F9654175889}" xr6:coauthVersionLast="47" xr6:coauthVersionMax="47" xr10:uidLastSave="{00000000-0000-0000-0000-000000000000}"/>
  <bookViews>
    <workbookView xWindow="11060" yWindow="-21000" windowWidth="13680" windowHeight="21000" xr2:uid="{00000000-000D-0000-FFFF-FFFF00000000}"/>
  </bookViews>
  <sheets>
    <sheet name="SUMMARY" sheetId="1" r:id="rId1"/>
    <sheet name="TEMPLATE" sheetId="2" r:id="rId2"/>
    <sheet name="ODP1148_TEX86" sheetId="3" r:id="rId3"/>
    <sheet name="ODP1148_UK37" sheetId="4" r:id="rId4"/>
    <sheet name="IODP-U1446" sheetId="5" r:id="rId5"/>
    <sheet name="KNR191-CDH19" sheetId="6" r:id="rId6"/>
    <sheet name="ODP1016C" sheetId="7" r:id="rId7"/>
    <sheet name="ODP1014A" sheetId="8" r:id="rId8"/>
    <sheet name="ODP999A" sheetId="9" r:id="rId9"/>
    <sheet name="U939" sheetId="10" r:id="rId10"/>
    <sheet name="SO136-111" sheetId="11" r:id="rId11"/>
    <sheet name="MD02-2575" sheetId="12" r:id="rId12"/>
    <sheet name="RC10-62" sheetId="13" r:id="rId13"/>
    <sheet name="RC13-110" sheetId="14" r:id="rId14"/>
    <sheet name="RC13-115" sheetId="15" r:id="rId15"/>
    <sheet name="V19-29" sheetId="16" r:id="rId16"/>
    <sheet name="VNTR1-8" sheetId="17" r:id="rId17"/>
    <sheet name="Y69-106P" sheetId="18" r:id="rId18"/>
    <sheet name="Y69-71P" sheetId="19" r:id="rId19"/>
    <sheet name="Y71-3-2" sheetId="20" r:id="rId20"/>
    <sheet name="Y71-9-101" sheetId="21" r:id="rId21"/>
    <sheet name="Y71-6-12" sheetId="22" r:id="rId22"/>
    <sheet name="ODP1239" sheetId="23" r:id="rId23"/>
    <sheet name="NH22P" sheetId="24" r:id="rId24"/>
    <sheet name="TR163-19" sheetId="25" r:id="rId25"/>
    <sheet name="SK157-4" sheetId="26" r:id="rId26"/>
    <sheet name="ODP 1094" sheetId="27" r:id="rId27"/>
    <sheet name="KX97322-4" sheetId="28" r:id="rId28"/>
    <sheet name="ODP 806B" sheetId="29" r:id="rId29"/>
    <sheet name="RC09-166" sheetId="30" r:id="rId30"/>
    <sheet name="MD85668" sheetId="31" r:id="rId31"/>
    <sheet name="MD90963" sheetId="32" r:id="rId32"/>
    <sheet name="MD85674" sheetId="33" r:id="rId33"/>
    <sheet name="TY93-929-P" sheetId="34" r:id="rId34"/>
    <sheet name="MD98-2152" sheetId="35" r:id="rId35"/>
    <sheet name="ODP 982" sheetId="36" r:id="rId36"/>
    <sheet name="Q200" sheetId="37" r:id="rId37"/>
    <sheet name="R657" sheetId="38" r:id="rId38"/>
    <sheet name="U938" sheetId="39" r:id="rId39"/>
    <sheet name="MD99-2331_UK37" sheetId="40" r:id="rId40"/>
    <sheet name="MD99-2331_Foram" sheetId="41" r:id="rId41"/>
    <sheet name="ODP 1172A" sheetId="42" r:id="rId42"/>
    <sheet name="ODP 1170A" sheetId="43" r:id="rId43"/>
    <sheet name="ODP 1168A" sheetId="44" r:id="rId44"/>
    <sheet name="MD01-2412" sheetId="45" r:id="rId45"/>
    <sheet name="ODP 1125" sheetId="46" r:id="rId46"/>
    <sheet name="ODP 847" sheetId="47" r:id="rId47"/>
    <sheet name="GeoB10083" sheetId="48" r:id="rId48"/>
    <sheet name="GeoB10163" sheetId="49" r:id="rId49"/>
    <sheet name="GeoB10285" sheetId="50" r:id="rId50"/>
    <sheet name="PS1778-5" sheetId="51" r:id="rId51"/>
    <sheet name="ODP 1144" sheetId="52" r:id="rId52"/>
    <sheet name="RS147-GC14" sheetId="53" r:id="rId53"/>
    <sheet name="E45-29" sheetId="54" r:id="rId54"/>
    <sheet name="E49-17" sheetId="55" r:id="rId55"/>
    <sheet name="E49-18" sheetId="56" r:id="rId56"/>
    <sheet name="E49-21" sheetId="57" r:id="rId57"/>
    <sheet name="RC12-225" sheetId="58" r:id="rId58"/>
    <sheet name="DSDP 593" sheetId="59" r:id="rId59"/>
    <sheet name="ODP 882" sheetId="60" r:id="rId60"/>
    <sheet name="VM19-193" sheetId="61" r:id="rId61"/>
    <sheet name="ODP 871" sheetId="62" r:id="rId62"/>
    <sheet name="MD97-2140" sheetId="63" r:id="rId63"/>
    <sheet name="TSP-2PC" sheetId="64" r:id="rId64"/>
    <sheet name="ODP 967" sheetId="65" r:id="rId65"/>
    <sheet name="IODP U1485" sheetId="66" r:id="rId66"/>
    <sheet name="IODP_U1482_UK37" sheetId="67" r:id="rId67"/>
    <sheet name="IODP_U1482_TEX86" sheetId="68" r:id="rId6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25" l="1"/>
  <c r="S15" i="25"/>
  <c r="U14" i="25"/>
  <c r="S14" i="25"/>
  <c r="U13" i="25"/>
  <c r="S13" i="25"/>
  <c r="U12" i="25"/>
  <c r="S12" i="25"/>
  <c r="U11" i="25"/>
  <c r="S11" i="25"/>
  <c r="U10" i="25"/>
  <c r="S10" i="25"/>
  <c r="U9" i="25"/>
  <c r="S9" i="25"/>
  <c r="U8" i="25"/>
  <c r="S8" i="25"/>
  <c r="U7" i="25"/>
  <c r="S7" i="25"/>
  <c r="U6" i="25"/>
  <c r="S6" i="25"/>
  <c r="U5" i="25"/>
  <c r="S5" i="25"/>
  <c r="U4" i="25"/>
  <c r="S4" i="25"/>
  <c r="U3" i="25"/>
  <c r="S3" i="25"/>
  <c r="U2" i="25"/>
  <c r="S2"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Anna Chen</author>
  </authors>
  <commentList>
    <comment ref="M1" authorId="0" shapeId="0" xr:uid="{00000000-0006-0000-0B00-000001000000}">
      <text>
        <r>
          <rPr>
            <sz val="12"/>
            <color theme="1"/>
            <rFont val="Helvetica"/>
            <family val="2"/>
          </rPr>
          <t>Anna Chen:
Thiis is delta O18 PDB from Globigerinoides ruber (white)</t>
        </r>
      </text>
    </comment>
  </commentList>
</comments>
</file>

<file path=xl/sharedStrings.xml><?xml version="1.0" encoding="utf-8"?>
<sst xmlns="http://schemas.openxmlformats.org/spreadsheetml/2006/main" count="2400" uniqueCount="342">
  <si>
    <t>ID</t>
  </si>
  <si>
    <t>Longitude</t>
  </si>
  <si>
    <t>Latitude</t>
  </si>
  <si>
    <t>Proxy</t>
  </si>
  <si>
    <t>Tie Point Depth (cm)</t>
  </si>
  <si>
    <t>Tie Point Age (yr)</t>
  </si>
  <si>
    <t>Tie Point Uncertainty (yr)</t>
  </si>
  <si>
    <t>Hadley Bias Correction</t>
  </si>
  <si>
    <t>Hadley uncertainty</t>
  </si>
  <si>
    <t>TF Uncertainty</t>
  </si>
  <si>
    <t>SS Uncertainty</t>
  </si>
  <si>
    <t>Benthic d18O Depth (cm)</t>
  </si>
  <si>
    <t>Benthic d18O (per mil)</t>
  </si>
  <si>
    <t>Depth (cm)</t>
  </si>
  <si>
    <t>Proxy Value</t>
  </si>
  <si>
    <t>SST (ºC)</t>
  </si>
  <si>
    <t>Biascorr</t>
  </si>
  <si>
    <t>Age (yr)</t>
  </si>
  <si>
    <t>SST -2sd</t>
  </si>
  <si>
    <t>SST mean</t>
  </si>
  <si>
    <t>SST +2sd</t>
  </si>
  <si>
    <t>Publication</t>
  </si>
  <si>
    <t>Data Link</t>
  </si>
  <si>
    <t>Chronology Info</t>
  </si>
  <si>
    <t>Method</t>
  </si>
  <si>
    <t>Elevation (m)</t>
  </si>
  <si>
    <t>summer_or_averaged_signal</t>
  </si>
  <si>
    <t>ODP1014A</t>
  </si>
  <si>
    <t>UK37</t>
  </si>
  <si>
    <t>Yamamoto, M., M. Yamamuro, and Y. Tanaka. 2007. The California current system during the last 136,000 years: response of the North Pacific High to precessional forcing. Quaternary Science Reviews, 26(3-4), 405-414. doi: 10.1016/j.quascirev.2006.07.014</t>
  </si>
  <si>
    <t>https://www.ncei.noaa.gov/pub/data/paleo/paleocean/sediment_files/complete/odp1014a-tab.txt</t>
  </si>
  <si>
    <t>uk37 proxy value reports Alkenone saturation index.  #   Alkenones and alkenoates were analyzed following the method of Yamamoto et al. (2000). UK'37 was calculated from the concentrations of di- and tri-unsaturated C37 alken-2-ones [C37MK] using the method of Prahl et al., (1988).</t>
  </si>
  <si>
    <t>DOI</t>
  </si>
  <si>
    <t>ODP1148_TEX86</t>
  </si>
  <si>
    <t>10.1016/j.quascirev.2017.08.005</t>
  </si>
  <si>
    <t>Li, D., M. Zhao, and J. Tian. 2017. Low-high latitude interaction forcing on the evolution of the 400 kyr cycle in East Asian winter monsoon records during the last 2.8 Myr. Quaternary Science Reviews, 172, 72-82. doi: 10.1016/j.quascirev.2017.08.005</t>
  </si>
  <si>
    <t>ODP1148_UK37</t>
  </si>
  <si>
    <t>IODP-U1446</t>
  </si>
  <si>
    <t>10.1126/sciadv.abg3848</t>
  </si>
  <si>
    <t>Clemens, Steven; Yamamoto, Masanobu; Thirumalai, Kaustubh; Giosan, Liviu; Richey, Julie N.; Nilsson-Kerr, Katrina; Rosenthal, Yair; Anand, Pallavi; McGrath, Sarah M. 2021. Remote and Local Drivers of Pleistocene South Asian Summer Monsoon Precipitation: A Test for Future Predictions. Science Advances, 7(23), eabg3848. doi: 10.1126/sciadv.abg3848</t>
  </si>
  <si>
    <t>10.1126/science.aaf5529</t>
  </si>
  <si>
    <t>L.G. Henry, J.F. McManus, W.B. Curry, N.L. Roberts, A.M. Piotrowski, L.D. Keigwin. 2016. North Atlantic ocean circulation and abrupt climate change during the last glaciation. Science, 353(6298), 470-474. doi: 10.1126/science.aaf5529</t>
  </si>
  <si>
    <t>ODP1016C</t>
  </si>
  <si>
    <t>10.1016/j.quascirev.2006.07.014</t>
  </si>
  <si>
    <t>ODP999A</t>
  </si>
  <si>
    <t>10.1038/nature02346</t>
  </si>
  <si>
    <t>Schmidt, M.W., H.J. Spero, and D.W. Lea. 2004. Links between salinity variation in the Caribbean and North Atlantic thermohaline circulation. Nature, 428, 160-163. doi: 10.1038/nature02346</t>
  </si>
  <si>
    <t>U939</t>
  </si>
  <si>
    <t>10.1029/2001PA000640</t>
  </si>
  <si>
    <t>Sikes, E.L., W.R. Howard, H.L. Neil, and J.K. Volkman. 2002. Glacial-interglacial sea surface temperature changes across the subtropical front east of New Zealand based on alkenone unsaturation ratios and foraminiferal assemblages. Paleoceanography, 17(2), 1012. doi: 10.1029/2001PA000640</t>
  </si>
  <si>
    <t>SO136-111</t>
  </si>
  <si>
    <t>10.1016/S0377-8398(03)00072-0</t>
  </si>
  <si>
    <t>Crosta, X., A. Sturm, L. Armand, and J.-J. Pichon. 2004. Late Quaternary sea ice history in the Indian sector of the Southern Ocean as recorded by diatom assemblages. Marine Micropaleontology, 50, 209-223. doi: 10.1016/S0377-8398(03)00072-0</t>
  </si>
  <si>
    <t>MD02-2575</t>
  </si>
  <si>
    <t>10.1016/j.epsl.2008.04.051</t>
  </si>
  <si>
    <t>Nürnberg, D., M. Ziegler, C. Karas, R. Tiedemann, and M. Schmidt. 2008. Interacting Loop Current variability and Mississippi River discharge over the past 400 kyr. Earth and Planetary Science Letters, 272(1-2), 278-289. doi: 10.1016/j.epsl.2008.04.051</t>
  </si>
  <si>
    <t>RC10-62</t>
  </si>
  <si>
    <t>10.1029/97PA00583</t>
  </si>
  <si>
    <t>Pisias, N.G., and A.C. Mix. 1997. Spatial and temporal oceanographic variability of the eastern equatorial Pacific during the late Pleistocene: Evidence from Radiolaria microfossils. Paleoceanography, 12(3), 381-393. doi: 10.1029/97PA00583</t>
  </si>
  <si>
    <t>RC13-110</t>
  </si>
  <si>
    <t>RC13-115</t>
  </si>
  <si>
    <t>V19-29</t>
  </si>
  <si>
    <t>VNTR1-8</t>
  </si>
  <si>
    <t>Y69-106P</t>
  </si>
  <si>
    <t>Y69-71P</t>
  </si>
  <si>
    <t>Y71-3-2</t>
  </si>
  <si>
    <t>Y71-9-101</t>
  </si>
  <si>
    <t>Y71-6-12</t>
  </si>
  <si>
    <t>ODP1239</t>
  </si>
  <si>
    <t>10.1002/2015PA002873</t>
  </si>
  <si>
    <t>Dyez, K.A., A.C. Ravelo, and A.C. Mix. 2016. Evaluating drivers of Pleistocene eastern tropical Pacific sea surface temperature. Paleoceanography, 31. doi: 10.1002/2015PA002873</t>
  </si>
  <si>
    <t>NH22P</t>
  </si>
  <si>
    <t>10.1029/2022GL098830</t>
  </si>
  <si>
    <t>Meegan Kumar, Dervla; Tierney, Jessica E.; Bhattacharya, Tripti; Zhu, Jiang; Murray, James W. 2022. Glacial warming in the Eastern Pacific Warm Pool. Geophysical Research Letters, 49(10), e2022GL098830. doi: 10.1029/2022GL098830</t>
  </si>
  <si>
    <t>TR163-19</t>
  </si>
  <si>
    <t>10.1175/1520-0442(2004)017&lt;2170:TYCITS&gt;2.0.CO;2</t>
  </si>
  <si>
    <t>Lea, D.W. 2004. The 100,000 year cycle in tropical SST, greenhouse forcing, and climate sensitivity. Journal of Climate, 17(11), 2170-2179. doi: 10.1175/1520-0442(2004)017&lt;2170:TYCITS&gt;2.0.CO;2</t>
  </si>
  <si>
    <t>SK157-4</t>
  </si>
  <si>
    <t>10.1029/2005GL024093</t>
  </si>
  <si>
    <t>Saraswat, R., R. Nigam, S. Weldeab, A. Mackensen, and P.D. Naidu. 2005. A first look at past sea surface temperatures in the equatorial Indian Ocean from Mg/Ca in foraminifera. Geophysical Research Letters, 32(24), L24605. doi: 10.1029/2005GL024093</t>
  </si>
  <si>
    <t>ODP 1094</t>
  </si>
  <si>
    <t>10.1126/science.1256620</t>
  </si>
  <si>
    <t>Hayes, C.T., A. Martinez-Garcia, A.P. Hasenfratz, S.L. Jaccard, D.A. Hodell, D.M. Sigman, G.H. Haug, and R.F. Anderson. 2014. A stagnation event in the deep South Atlantic during the last interglacial period. Science, 346(6216), 1514-1517. doi: 10.1126/science.1256620</t>
  </si>
  <si>
    <t>KX97322-4</t>
  </si>
  <si>
    <t>10.1038/s43247-021-00305-5</t>
  </si>
  <si>
    <t>Shuai Zhang, Zhoufei Yu, Xun Gong, Yue Wang, Fengming Chang, Gerrit Lohmann, Yiquan Qi, Tiegang Li. 2021. Precession cycles of the El Niño/Southern oscillation-like system controlled by Pacific upper-ocean stratification. Communications Earth and Environment, 2, 239. doi: 10.1038/s43247-021-00305-5</t>
  </si>
  <si>
    <t>ODP 806B</t>
  </si>
  <si>
    <t>10.1126/science.289.5485.1719</t>
  </si>
  <si>
    <t>Lea, D.W., D.K. Pak, and H.J. Spero. 2000. Climate impact of late Quaternary equatorial Pacific sea surface temperature variations. Science, 289(5485), 1719-1724. doi: 10.1126/science.289.5485.1719</t>
  </si>
  <si>
    <t>RC09-166</t>
  </si>
  <si>
    <t>10.1130/G39457.1</t>
  </si>
  <si>
    <t>Jessica E. Tierney, Peter B. deMenocal, Paul D. Zander. 2017. A climatic context for the out-of-Africa migration. Geology, 45(11), 1023-1026. doi: 10.1130/G39457.1</t>
  </si>
  <si>
    <t>MD85668</t>
  </si>
  <si>
    <t>10.1038/385707a0</t>
  </si>
  <si>
    <t>Bard, E., F. Rostek, and C. Sonzogni. 1997. Interhemispheric synchrony of the last deglaciation inferred from alkenone palaeothermometry. Nature, 385, 707-710. doi: 10.1038/385707a0</t>
  </si>
  <si>
    <t>MD90963</t>
  </si>
  <si>
    <t>MD85674</t>
  </si>
  <si>
    <t>TY93-929-P</t>
  </si>
  <si>
    <t>MD98-2152</t>
  </si>
  <si>
    <t>10.1016/j.epsl.2019.03.038</t>
  </si>
  <si>
    <t>Grace Windler, Jessica E. Tierney, Pedro N. DiNezio, Kelly Gibson, Robert Thunell. 2019. Shelf exposure influence on Indo-Pacific Warm Pool climate for the last 450,000 years. Earth and Planetary Science Letters, 516, 66-76. doi: 10.1016/j.epsl.2019.03.038</t>
  </si>
  <si>
    <t>ODP 982</t>
  </si>
  <si>
    <t>10.1126/science.1185435</t>
  </si>
  <si>
    <t>Herbert, T.D., L.C. Peterson, K.T. Lawrence, and Z. Liu. 2010. Tropical Ocean Temperatures over the Past 3.5 Myr. Science, 328, 5985, 1530-1534. doi: 10.1126/science.1185435</t>
  </si>
  <si>
    <t>Q200</t>
  </si>
  <si>
    <t>10.1029/97PA02982</t>
  </si>
  <si>
    <t>Weaver, P.P.E., L. Carter, and H.L. Neil. 1998. Response of surface water masses and circulation to late Quaternary climate change east of New Zealand. Paleoceanography, 13(1), 70-83. doi: 10.1029/97PA02982</t>
  </si>
  <si>
    <t>R657</t>
  </si>
  <si>
    <t>U938</t>
  </si>
  <si>
    <t>MD99-2331_UK37</t>
  </si>
  <si>
    <t>10.1016/j.epsl.2004.12.010</t>
  </si>
  <si>
    <t>Sanchez Goñi, M.F., M.F. Loutre, M. Crucifix, O. Peyron, L. Santos, J. Duprat, B. Malaize, J.-L. Turon, and J.-P. Peypouquet. 2005. Increasing vegetation and climate gradient in Western Europe over the Last Glacial Inception (122–110 ka): data-model comparison. Earth and Planetary Science Letters, 231(1-2), 111-130. doi: 10.1016/j.epsl.2004.12.010</t>
  </si>
  <si>
    <t>MD99-2331_Foram</t>
  </si>
  <si>
    <t>ODP 1172A</t>
  </si>
  <si>
    <t>10.1029/2005GC000984</t>
  </si>
  <si>
    <t>Nürnberg, D. and J. Groeneveld. 2006. Pleistocene variability of the Subtropical Convergence at East Tasman Plateau: Evidence from planktonic foraminiferal Mg/Ca (ODP Site 1172A). Geochemistry, Geophysics, Geosystems, 7(4), Q04P11. doi: 10.1029/2005GC000984</t>
  </si>
  <si>
    <t>ODP 1170A</t>
  </si>
  <si>
    <t>10.1029/151GM17</t>
  </si>
  <si>
    <t>Nuernberg, D., N. Brughmans, J. Schönfeld, U.S. Ninnemann, and C. Dullo. 2004. Paleo-export productivity, terrigenous flux, and sea surface temperature around Tasmania - Implications for glacial/interglacial changes in the Subtropical Convergence Zone. in Exon, N., J.P. Kennett, and M. Malone (eds.) The Cenozic Southern Ocean: Tectonics, Sedimentation and Climate Change Between Australia and Antarctica. Geophysical Monograph Series, 151, 291-318. doi:10.1029/151GM17.</t>
  </si>
  <si>
    <t>ODP 1168A</t>
  </si>
  <si>
    <t>MD01-2412</t>
  </si>
  <si>
    <t>10.1016/j.gloplacha.2006.01.010</t>
  </si>
  <si>
    <t>Harada, N., N. Ahagon, T. Sakamoto, M. Uchida, M. Ikehara, and Y. Shibata. 2006. Rapid fluctuation of alkenone temperature in the southwestern Okhotsk Sea during the past 120 ky. Global and Planetary Change, 53(1-2), 29-46. doi: 10.1016/j.gloplacha.2006.01.010</t>
  </si>
  <si>
    <t>ODP 1125</t>
  </si>
  <si>
    <t>10.1029/2019PA003720</t>
  </si>
  <si>
    <t>L.C. Peterson, K.T. Lawrence, T.D. Herbert, R. Caballero-Gill, J. Wilson, K. Huska, H. Miller, C. Kelly, J. Seidenstein, D. Hovey, and L. Holte. 2020. Plio-Pleistocene hemispheric (a)symmetries in the northern and southern hemisphere mid-latitudes. Paleoceanography and Paleoclimatology, 35(3), e2019PA003720. doi: 10.1029/2019PA003720</t>
  </si>
  <si>
    <t>ODP 847</t>
  </si>
  <si>
    <t>10.1016/j.epsl.2008.03.014</t>
  </si>
  <si>
    <t>Medina-Elizalde, M., D.W. Lea, and M.S. Fantle. 2008. Implications of seawater Mg/Ca variability for Plio-Pleistocene tropical climate reconstruction. Earth and Planetary Science Letters, 269(3-4), 585-595. doi: 10.1016/j.epsl.2008.03.014</t>
  </si>
  <si>
    <t>GeoB10083</t>
  </si>
  <si>
    <t>10.1029/94PA03308</t>
  </si>
  <si>
    <t>Schneider, R.R., P.J. Mueller, and G. Ruhland. 1995. Late Quaternary surface circulation in the east-equatorial South Atlantic: evidence from alkenone sea surface temperatures. Paleoceanography, 10(2), 197-219. doi: 10.1029/94PA03308</t>
  </si>
  <si>
    <t>GeoB10163</t>
  </si>
  <si>
    <t>GeoB10285</t>
  </si>
  <si>
    <t>PS1778-5</t>
  </si>
  <si>
    <t>10.1029/1998PA900020</t>
  </si>
  <si>
    <t>Brathauer, U., and A. Abelmann. 1999. Late Quaternary variations in sea surface temperatures and their relationship to orbital forcing recorded in the Southern Ocean (Atlantic sector). Paleoceanography, 14(2), 135-148. doi: 10.1029/1998PA900020</t>
  </si>
  <si>
    <t>ODP 1144</t>
  </si>
  <si>
    <t>10.1016/j.palaeo.2007.03.005</t>
  </si>
  <si>
    <t>Wei, G., W. Deng, Y. Liu, and X. Li. 2007. High-resolution sea surface temperature records derived  from foraminiferal Mg/Ca ratios during the last 260 ka  in the northern South China Sea. Palaeogeography, Palaeoclimatology, Palaeoecology, 250, 126-138. doi: 10.1016/j.palaeo.2007.03.005</t>
  </si>
  <si>
    <t>RS147-GC14</t>
  </si>
  <si>
    <t>E45-29</t>
  </si>
  <si>
    <t>10.1029/93PA03524</t>
  </si>
  <si>
    <t>Howard, W.R., and W.L. Prell. 1994. Late Quaternary carbonate production and preservation in the Southern Ocean: implications for oceanic and atmospheric carbon cycling. Paleoceanography, 9(3), 453-482. doi: 10.1029/93PA03524</t>
  </si>
  <si>
    <t>E49-17</t>
  </si>
  <si>
    <t>E49-18</t>
  </si>
  <si>
    <t>E49-21</t>
  </si>
  <si>
    <t>RC12-225</t>
  </si>
  <si>
    <t>10.1029/1999PA900007</t>
  </si>
  <si>
    <t>Rickaby, R.E.M., and H. Elderfield. 1999. Planktonic foraminiferal Cd/Ca: Paleonutrients or paleotemperature?. Paleoceanography, 14(3), 293-303. doi: 10.1029/1999PA900007</t>
  </si>
  <si>
    <t>DSDP 593</t>
  </si>
  <si>
    <t>10.1016/j.epsl.2015.07.013</t>
  </si>
  <si>
    <t>Elmore, Aurora C., Erin L. McClymont, Henry Elderfield, Sev Kender, Michael R. Cook, Melanie J. Leng, Mervyn Greaves, and Sambuddha Misra. 2015. Antarctic Intermediate Water properties since 400 ka recorded in infaunal (Uvigerina peregrina) and epifaunal (Planulina wuellerstorfi) benthic foraminifera. Earth and Planetary Science Letters, 428, 193-203. doi: 10.1016/j.epsl.2015.07.013</t>
  </si>
  <si>
    <t>ODP 882</t>
  </si>
  <si>
    <t>10.1126/science.1184480</t>
  </si>
  <si>
    <t>Martínez-Garcia, A., A. Rosell-Melé, E.L. McClymont, R. Gersonde, and G.H. Haug. 2010. Subpolar Link to the Emergence of the Modern Equatorial Pacific Cold Tongue. Science, 328(5985), 1550-1553. doi: 10.1126/science.1184480</t>
  </si>
  <si>
    <t>VM19-193</t>
  </si>
  <si>
    <t>10.1029/2022PA004530</t>
  </si>
  <si>
    <t>Windler, Grace, Tierney, Jessica E., and deMenocal, Peter B. 2023. Hydroclimate variability in the equatorial western Indian Ocean for the last 300,000 years. Paleoceanography and Paleoclimatology, 38(2), e2022PA004530. doi: 10.1029/2022PA004530</t>
  </si>
  <si>
    <t>ODP 871</t>
  </si>
  <si>
    <t>10.1002/2014GL061639</t>
  </si>
  <si>
    <t>Dyez, K.A. and A.C. Ravelo. 2014. Dynamical changes in the tropical Pacific warm pool and zonal SST gradient during the Pleistocene. Geophysical Research Letters, 41(21), 7626-7633. doi: 10.1002/2014GL061639</t>
  </si>
  <si>
    <t>MD97-2140</t>
  </si>
  <si>
    <t>10.1038/nature03189</t>
  </si>
  <si>
    <t>de Garidel-Thoron, T., Y. Rosenthal, F.C. Bassinot, and L. Beaufort. 2005. Stable sea surface temperatures in the western Pacific warm pool over the past 1.75 million years. Nature, 433, 294-298. doi: 10.1038/nature03189</t>
  </si>
  <si>
    <t>TSP-2PC</t>
  </si>
  <si>
    <t>10.1029/1999PA000425</t>
  </si>
  <si>
    <t>Ikehara, M., Kawamura, K., Ohkouchi, N., Murayama, M., Nakamura, T., and Taira, A. 2000. Variations of terrestrial input and marine productivity in the Southern Ocean (48S) during the last two deglaciations. Paleoceanography, 15(2), 170-180. doi: 10.1029/1999PA000425</t>
  </si>
  <si>
    <t>ODP 967</t>
  </si>
  <si>
    <t>IODP U1485</t>
  </si>
  <si>
    <t>10.1038/s41586-020-03155-x</t>
  </si>
  <si>
    <t>Bova, S.; Rosenthal, Y.; Liu, Z.; Godad, S.; Yan, M. 2021. Seasonal origin of the thermal maxima at the Holocene and the last interglacial. Nature, 589, 548–553. doi: 10.1038/s41586-020-03155-x</t>
  </si>
  <si>
    <t>IODP_U1482_UK37</t>
  </si>
  <si>
    <t>10.1029/2025PA005276</t>
  </si>
  <si>
    <t>Tran, T.T.; Tierney, J.E.; Holbourn, A.E; Rattanasriampaipong, R. 2026. Biomarker Constraints on Indo-Pacific Warm Pool Temperature During the Late Pleistocene: The Role of Orbital Forcing. Paleoceanography and Paleoclimatology, 41(3), e2025PA005276. doi: 10.1029/2025PA005276</t>
  </si>
  <si>
    <t>IODP_U1482_TEX86</t>
  </si>
  <si>
    <t>Note: these data are absent in most sheets</t>
  </si>
  <si>
    <t>Note: because we have 1 sheet per proxy, these data are inferred from the same proxy.</t>
  </si>
  <si>
    <t>ODP1148</t>
  </si>
  <si>
    <t>TEX86</t>
  </si>
  <si>
    <t xml:space="preserve">18.8 </t>
  </si>
  <si>
    <t>https://www.ncei.noaa.gov/pub/data/paleo/contributions_by_author/li2017/li2017.txt</t>
  </si>
  <si>
    <t xml:space="preserve">21.2 </t>
  </si>
  <si>
    <t xml:space="preserve">20.2 </t>
  </si>
  <si>
    <t xml:space="preserve">18.4 </t>
  </si>
  <si>
    <t xml:space="preserve">17.4 </t>
  </si>
  <si>
    <t xml:space="preserve">0.924 </t>
  </si>
  <si>
    <t xml:space="preserve">26.7 </t>
  </si>
  <si>
    <t>UK37 calculated after Prahl and Wakeham (1987), UK37 SST reconstruction calculated after Mueller et al.(1998)</t>
  </si>
  <si>
    <t xml:space="preserve">0.970 </t>
  </si>
  <si>
    <t xml:space="preserve">28.1 </t>
  </si>
  <si>
    <t xml:space="preserve">0.955 </t>
  </si>
  <si>
    <t xml:space="preserve">27.6 </t>
  </si>
  <si>
    <t xml:space="preserve">0.874 </t>
  </si>
  <si>
    <t xml:space="preserve">25.2 </t>
  </si>
  <si>
    <t xml:space="preserve">0.824 </t>
  </si>
  <si>
    <t xml:space="preserve">23.6 </t>
  </si>
  <si>
    <t xml:space="preserve">0.842 </t>
  </si>
  <si>
    <t xml:space="preserve">24.2 </t>
  </si>
  <si>
    <t>MgCa</t>
  </si>
  <si>
    <t>https://www.ncei.noaa.gov/pub/data/paleo/contributions_by_author/clemens2021/clemens2021-u1446-mgca-noaa.txt</t>
  </si>
  <si>
    <t>Analytical facility: Kerr (Open Univ.)</t>
  </si>
  <si>
    <t>https://www.ncei.noaa.gov/pub/data/paleo/contributions_by_author/henry2016/henry2016sst.txt</t>
  </si>
  <si>
    <t>Age model was generated by correlating XRF Ca counts in CDH19 to carbonate measurements made in core MD95-2036.</t>
  </si>
  <si>
    <t>https://www.ncei.noaa.gov/pub/data/paleo/paleocean/sediment_files/complete/odp1016c-tab.txt</t>
  </si>
  <si>
    <t>https://www.ncei.noaa.gov/pub/data/paleo/paleocean/sediment_files/complete/odp999a-tab.txt</t>
  </si>
  <si>
    <t>d18Ocalcite are measurements on the planktic foraminifera Globigerinoides ruber, which are used to reconstruct d18O seawater.</t>
  </si>
  <si>
    <t>https://www.ncei.noaa.gov/pub/data/paleo/paleocean/sediment_files/complete/u939-tab.txt</t>
  </si>
  <si>
    <t xml:space="preserve">uk37 proxy values are Alkenone saturation index. Subsurface Uk37 SST calculated using Prahl and Wakeham [1998] (Uk'37 = 0.034T+0.039). One sigma =1.0°C Antarctic CRC/CSIRO Oceanography. </t>
  </si>
  <si>
    <t>summer</t>
  </si>
  <si>
    <t>Diatom</t>
  </si>
  <si>
    <t>https://www.ncei.noaa.gov/pub/data/paleo/contributions_by_author/crosta2004/crosta2004.txt</t>
  </si>
  <si>
    <t xml:space="preserve">NOTE: SST is February reconstruction.
A Modern Analog Technique (MAT5201/31) has been applied to fossil diatom assemblages to provide down-core estimates of February sea-surface temperatures (SSTs) </t>
  </si>
  <si>
    <t>https://www.ncei.noaa.gov/pub/data/paleo/paleocean/sediment_files/complete/md2-2575-tab.txt</t>
  </si>
  <si>
    <t>The data link provides "delta d18O PDB" time series from two species: Globigerinoides ruber (white) and Uvigerina peregrina. However, because G. ruber is used to provide the Mg/Ca ratio which is used to infer SST, the d18O column in this spreadsheet uses the delta d18O PDB data from G. ruber. The U. peregrina time series is still available through the data link.</t>
  </si>
  <si>
    <t>Radiolaria</t>
  </si>
  <si>
    <t>https://www.ncei.noaa.gov/pub/data/paleo/contributions_by_author/pisias1997b/rc10-62_sst.ager</t>
  </si>
  <si>
    <t>https://www.ncei.noaa.gov/pub/data/paleo/contributions_by_author/pisias1997b/rc13-110_sst.ager</t>
  </si>
  <si>
    <t>https://www.ncei.noaa.gov/pub/data/paleo/contributions_by_author/pisias1997b/rc13-115_sst.ager</t>
  </si>
  <si>
    <t>https://www.ncei.noaa.gov/pub/data/paleo/contributions_by_author/pisias1997b/v19-29_sst.ager</t>
  </si>
  <si>
    <t>https://www.ncei.noaa.gov/pub/data/paleo/contributions_by_author/pisias1997b/vntr1-8_sst.ager</t>
  </si>
  <si>
    <t>https://www.ncei.noaa.gov/pub/data/paleo/contributions_by_author/pisias1997b/y69-106p_sst.ager</t>
  </si>
  <si>
    <t>https://www.ncei.noaa.gov/pub/data/paleo/contributions_by_author/pisias1997b/y69-71p_sst.ager</t>
  </si>
  <si>
    <t>https://www.ncei.noaa.gov/pub/data/paleo/contributions_by_author/pisias1997b/y71-3-2_sst.ager</t>
  </si>
  <si>
    <t>https://www.ncei.noaa.gov/pub/data/paleo/contributions_by_author/pisias1997b/y71-9-101_sst.ager</t>
  </si>
  <si>
    <t>https://www.ncei.noaa.gov/pub/data/paleo/contributions_by_author/pisias1997b/y71-6-12_sst.ager</t>
  </si>
  <si>
    <t>https://www.ncei.noaa.gov/pub/data/paleo/contributions_by_author/dyez2016/dyez2016-sst-merge.txt</t>
  </si>
  <si>
    <t>derived from alignment of benthic d18O with global LR04 stack</t>
  </si>
  <si>
    <t>Stack is a synthesis of multiple studies.
SST derived from Uk'37 using Müller et al., 1998 calibration SST = (Uk'37 - 0.044) / 0.033
d18O: average of Uvigerina and Cibicidoides d18O, after Cibicidoides value was corrected for species offset</t>
  </si>
  <si>
    <t>https://www.ncei.noaa.gov/pub/data/paleo/reconstructions/kumar2022/nh22p_kumar2022.txt</t>
  </si>
  <si>
    <t>Chronology more recent than ~54000 ka calibrated to Marine20 curve. Before ~54 ka, calibrated according to correlation to Lisiecki et al. 2005</t>
  </si>
  <si>
    <t>Uk37: gas chromatography - flame ionization detection</t>
  </si>
  <si>
    <t>https://www.ncei.noaa.gov/pub/data/paleo/contributions_by_author/lea2004/lea2004.txt</t>
  </si>
  <si>
    <t xml:space="preserve">Conversion of core depth to age is based on the 
timescale for core V19-30 in Shackleton (2000). 
Benthic O18 from TR163-19 was tied to V19-30 O18. 
A calibrated radiocarbon age was used for the core-top only. </t>
  </si>
  <si>
    <t>Cocos Ridge, Eastern tropical Pacific, foraminiferal Mg/Ca and SST reconstruction.
Mg/Ca data on cleaned G. ruber shells by ICP-MS, 417 individual data points 
from Lea et al. 2000, and 76 new data points from 39 depth intervals, 
total data points 493, total depth intervals 208. 
SST estimates based on depth/basin-corrected calibration in Dekens et al., 2002: 
SST(deg C) = LN((Mg/Ca-m)/0.38)/0.09+0.61*2.348+1.6
Data precision: Mg/Ca, ±2.1%; SST (est.), ±0.6°C</t>
  </si>
  <si>
    <t>https://www.ncei.noaa.gov/pub/data/paleo/paleocean/sediment_files/complete/sk157_4-tab.txt</t>
  </si>
  <si>
    <t>Radiocarbon years B.P. (Libby half-life; B.P. = 1950)</t>
  </si>
  <si>
    <t>The Mg/Ca ratio was converted to SST using the depth corrected G. ruber Mg/Ca-SST calibration of Dekens et al. [2002]: (Mg/Ca = 0.38 exp 0.09 [SST - 0.61 (core depth km)]).</t>
  </si>
  <si>
    <t>https://www.ncei.noaa.gov/pub/data/paleo/contributions_by_author/hayes2014/hayes2014.txt</t>
  </si>
  <si>
    <t xml:space="preserve">Chronology: The age model for the period spanning 140-118 ka was derived by tuning the TEX86L temperature record from ODP1094 to the Antarctic ice core temperature record on the Antarctic Ice Core Chronology (AICC2012). This augments the age model used for the same core by Jaccard et al. (2013). tie-points:	Depth (mcd)	Age (kyr BP) 22.77	118.13 23.23	120.04 23.67	123.01 | The age model for the period spanning 140-118 ka was derived by tuning the TEX86L temperature record from ODP1094 to the Antarctic ice core temperature record on the Antarctic Ice Core Chronology (AICC2012). This augments the age model used for the same core by Jaccard et al. (2013). tie-points:	Depth (mcd)	Age (kyr BP) 22.77	118.13 23.23	120.04 23.67	123.01 24.51	127.02 | AvgMAR  	interval average mass accumulation rate, bulk sediment, , grams*cm-2*kyr-1, ,paleoceanography ,average MAR integrated between age model tie </t>
  </si>
  <si>
    <t>Proxy carrier: G.H. Depth converted from metres to centimetres (source column "depth_m"). Variables | Data variables follow are preceded by "##" in columns one and two. | Data line variables format:  Variables list, one per line, shortname-tab-longname-tab-longname components (9 components: what, material, error, units, seasonality, archive, detail, method, C or N for Character or Numeric data) | FocusFact  Th-230 based focusing factor, bulk sediment, , unitless, ,paleoceanography , ratio of excess Th-230 inventory to water column Th-230 production calculated as averages between age model tie-points, ,N sst-TEX86L	Sea-surface temperature, bulk sediment, , degress Celsius, ,paleoceanography ,based on the marine lipid index TEX-86L calibration of Kim et al. (2012), ,N d13Cc.wuell&gt;150-vp  delta 13C,Cibicidoides wuellerstorfi, , , per mil VPDB, ,paleoceanography , picked from &gt;150 micron fraction , ,N | sst-TEX86L	Sea-surface temperature, bulk sediment, , degress Celsius, ,paleoc</t>
  </si>
  <si>
    <t>https://www.ncei.noaa.gov/pub/data/paleo/contributions_by_author/zhang2021/zhang2021.txt</t>
  </si>
  <si>
    <t>Chronology_Information | Chronology:</t>
  </si>
  <si>
    <t>Proxy carrier: Globigerinoides ruber. Variables | Variables format: Short_name &lt;tab&gt; what,material,error,units,seasonality,data_type,detail,method,data_format,additional_information</t>
  </si>
  <si>
    <t>https://www.ncei.noaa.gov/pub/data/paleo/paleocean/sediment_files/complete/odp806b-tab.txt</t>
  </si>
  <si>
    <t>Proxy carrier: G. ruber. SST taken from the "sst-mg/ca.adj" column, adjusted for variation in seawater Mg/Ca, in preference to the unadjusted "sst-mg/ca". This applies the same ruling AC made for ODP 847 consistently across this file family. Confirmed by AC 2026-07-21. Mg/Ca data on cleaned G. ruber shells by ICP-MS, SST estimates based on calibration in Lea et al., 2000, O18w calculated from O18ruber measurements, Mg/Ca-temperature estimates and Orbulina low light paleotemperature equations (Bemis et al., 1998). | in Lea et al., 2000, O18w calculated from O18ruber measurements, Mg/Ca-temperature estimates and Orbulina low light paleotemperature equations (Bemis et al., 1998). | Variables: depth         Depth (cm) yrBP          radiocarbon years B.P. (Libby half-life; B.P. = 1950) d18Og.rub     delta O18 PDB (Globigerinoides ruber) d18Osmow      delta O18 SMOW Mg/Ca         Magnesium/Calcium ratio</t>
  </si>
  <si>
    <t>https://www.ncei.noaa.gov/pub/data/paleo/contributions_by_author/tierney2017b/tierney2017b.txt</t>
  </si>
  <si>
    <t>Chronology_Information | Chronology: This chronology describes the 14C dates on core RC09-166, as well as the tiepoints (other_date) that were used to constrain ages beyond the radiocarbon period. The tiepoints were made between the planktonic d18O G. ruber data and the LR04 benthic stack. "Calibrated_dates" refer to posterior means from OxCal 4.2</t>
  </si>
  <si>
    <t>Proxy carrier: G. ruber. Labcode	depth_top	depth_bottom	mat_dated	14C_date	14C_1s_err	delta_R	delta_R_1s_err	other_date	other_1s_err	other_type	calibrated_date	calibrated_1s_err	calib_method OS-121824	5	6	Globigerinoides ruber (white)	2570	15	311	24	-999	-999	-999	1884	44	OxCal 4.2 OS-121825	25	26	Globigerinoides ruber (white)	2970	15	311	24	-999	-999	-999	2359	44	OxCal 4.2 OS-121826	55	56	Globigerinoides ruber (white)	5280	20	311	24	-999	-999	-999	5333	50	OxCal 4.2 OS-121827	75	76	Globigerinoides ruber (white)	7230	25	311	24	-999	-999	-999	7443	37	OxCal 4.2 OS-121828	95	96	Globigerinoides ruber (white)	8810	35	311	24	-999	-999	-999	9143	71	OxCal 4.2 | Variables | Data variables follow are preceded by "##" in columns one and two. | Data line variables format:  one per line, shortname-tab-variable components (what, material, error, units, seasonality, data type,detail, method, C or N for Character or Numeric data</t>
  </si>
  <si>
    <t>https://www.ncei.noaa.gov/pub/data/paleo/paleocean/sediment_files/complete/m85668eb-tab.txt</t>
  </si>
  <si>
    <t>Proxy carrier: G. Ruhland. Variables: depth         Depth (cm) calyrBP       calendar years B.P. (B.P. = 1950) sst-uk37      Sea Surface Temperature from Uk'37 (C)</t>
  </si>
  <si>
    <t>https://www.ncei.noaa.gov/pub/data/paleo/paleocean/sediment_files/complete/md90963-tab.txt</t>
  </si>
  <si>
    <t>Geochemical and geochronological data, together with some interpretations, can be found in Rostek et al. (1993)</t>
  </si>
  <si>
    <t>https://www.ncei.noaa.gov/pub/data/paleo/paleocean/sediment_files/complete/md85674-tab.txt</t>
  </si>
  <si>
    <t>TY93-929/P</t>
  </si>
  <si>
    <t>https://www.ncei.noaa.gov/pub/data/paleo/paleocean/sediment_files/complete/t93929-p-tab.txt</t>
  </si>
  <si>
    <t>Geochemical and geochronological data, together with some interpretations, can be found in Rostek et al. (1997)</t>
  </si>
  <si>
    <t>https://www.ncei.noaa.gov/pub/data/paleo/contributions_by_author/windler2019/windler2019.txt</t>
  </si>
  <si>
    <t>Chronology_Information | Chronology: Labcode depth_top depth_bottom mat_dated 14C_date</t>
  </si>
  <si>
    <t>Proxy carrier: G. ruber. SST is the CENTRAL estimate "sst_uk_med"; the source also publishes the credible-interval bounds sst_uk_5, sst_uk_95, which are NOT the mean and must not be read as such. Those bounds are a 90% interval, so each side has been rescaled about the central value by 2/1.645 = 1.2159 to express it as +/-2sd for columns S and U (AC, 2026-07-21). The rescaling is applied to each side independently, so an asymmetric interval remains asymmetric. 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 sst_uk_5	sea surface temperature,,90% confidence interval lower bound,degree Celsius,,Paleoceanography,,Bayesian hierarchical modeling,N ,5% confidence interval using BAYSPLINE calibration sst_uk_med	sea surface temperature,,,degree Celsius,,Paleoceanography,,Bayesian hierarchical modeling,N ,Median values using BAYSPLINE calibration sst_uk_95	sea surface temperature,,90% confidence interval lower bound,degree Celsius,,Paleoceanography,,Bayesian hierarchical modeling,N ,95% confidence interval using BAYSPLINE calibration TEX86	tetraether index of 86</t>
  </si>
  <si>
    <t>https://www.ncei.noaa.gov/pub/data/paleo/contributions_by_author/herbert2016/herbert2016-odp982.txt</t>
  </si>
  <si>
    <t>Description: Note: age models for Sites 907 and 982 refined following publication of Herbert et al., 2016 NGS | Chronology_Information | Chronology: chronology taken from Lawrence et al. 2009 0-4.026 Ma; from Drury et al. 2017, Climate of the Past from 4.026-8.2 Ma; Herbert et al. 2016 Nature Geoscience from 8.2-16 Ma Event	age_ka	error_ka	depth_(mcd) Gi20	3997	20	98.46 Drury_2017	4478.87	10	120.14 Drury_2017	4601.53	10	124.59 | chronology taken from Lawrence et al. 2009 0-4.026 Ma; from Drury et al. 2017, Climate of the Past from 4.026-8.2 Ma; Herbert et al. 2016 Nature Geoscience from 8.2-16 Ma Event	age_ka	error_ka	depth_(mcd) Gi20	3997	20	98.46 Drury_2017	4478.87	10	120.14 Drury_2017	4601.53	10	124.59 N6	4698	20	128.09</t>
  </si>
  <si>
    <t>Source reports alternative SST column(s): SST_M. Value used here is "SST_P". Proxy carrier: g. Here. 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</si>
  <si>
    <t>Foram</t>
  </si>
  <si>
    <t>https://www.ncei.noaa.gov/pub/data/paleo/paleocean/sediment_files/complete/q200-tab.txt</t>
  </si>
  <si>
    <t>Annual SST computed as the mean of "sst-aug" (warm/August) and "sst-feb" (cold/February) reported in the source file. Proxy carrier: g.aequi. Variables: depth         Depth (cm) yrBP          radiocarbon years B.P. (Libby half-life; B.P. = 1950) carb%         Calcium Carbonate percent commun        Communality gyrmar        Gyre margin foraminifer assemblage</t>
  </si>
  <si>
    <t>aug-feb averaged</t>
  </si>
  <si>
    <t>https://www.ncei.noaa.gov/pub/data/paleo/paleocean/sediment_files/complete/r657-tab.txt</t>
  </si>
  <si>
    <t>Annual SST computed as the mean of "sst-aug" (warm/August) and "sst-feb" (cold/February) reported in the source file. Proxy carrier: g.bull. Variables: depth         Depth (cm) yrBP          radiocarbon years B.P. (Libby half-life; B.P. = 1950) carb%         Calcium Carbonate percent commun        Communality d13Cg.bull    delta C13 PDB (Globigerina bulloides)</t>
  </si>
  <si>
    <t>https://www.ncei.noaa.gov/pub/data/paleo/paleocean/sediment_files/complete/u938-tab.txt</t>
  </si>
  <si>
    <t>Annual SST computed as the mean of "sst-aug" (warm/August) and "sst-feb" (cold/February) reported in the source file. Proxy carrier: Uvigerina sp. Variables: depth         Depth (cm) yrBP          radiocarbon years B.P. (Libby half-life; B.P. = 1950) carb%         Calcium Carbonate percent commun        Communality d13Cuvige     delta C13 PDB (Uvigerina sp.)</t>
  </si>
  <si>
    <t>MD99-2331</t>
  </si>
  <si>
    <t>https://www.ncei.noaa.gov/pub/data/paleo/contributions_by_author/sanchezgoni2013/sanchezgoni2013-md99-2331-sstuk37.txt</t>
  </si>
  <si>
    <t>Chronology MD99-2331 Control points	Depth (cm)	Age  ka b2k GICC05 (Wolff et al., 2010) for D-O; Sanchez Goñi &amp; Harrison, 2010 for HS; Shackleton et al., 2000; Sanchez Goñi et al. 2012, Masson-Delmotte et al, 2010 PNAS and Waelbroeck per. com. D-O 2		23.34	Wolff et al., 2010 D-O 3		27.78	Wolff et al., 2010 D-O 4	805	28.9	Wolff et al., 2010</t>
  </si>
  <si>
    <t>Proxy carrier: Neogloboquadrina pachyderma. SST column "SST.for-JAS" is a July-August-September (boreal summer) estimate, so this is a SUMMER-SIGNAL core. The accompanying "-i" and "-s" columns are probably inferior and superior bounds but are not defined in the source, so they are deliberately not used as uncertainties. Abstract: High-resolution terrestrial (pollen) and marine (planktic and benthic isotopes, coarse fraction, and N. pachyderma (s)) analyses have been performed in the Marine Isotope Stage (MIS) 5 interval of IMAGES core MD99-2331 retrieved in the northwestern Iberian margin. This study shows the occurrence of a Zeifen Interstadial/Stadial succession on land and in the ocean during the first part of MIS 5e. In northwestern Iberia, the Eemian is marked from 126 to 122 ka by the development of deciduous Quercus forest at the same time as Mediterranean forest colonised southern Iberia, and deciduous Quercus-Corylus forest occupied northernmost European regions. From 121 to 115 ka Carpinus betulus forest developed in NW Iberia indicating a winter cooling by 2 °C on land and an increase in annual precipitation by 100–200 mm along with a Sea Surface Temperature (SST) decreasing trend off Iberia.</t>
  </si>
  <si>
    <t>https://www.ncei.noaa.gov/pub/data/paleo/contributions_by_author/sanchezgoni2013/sanchezgoni2013-md99-2331-sstfor.txt</t>
  </si>
  <si>
    <t>SEASONAL SIGNAL: source reports only "SST.for-JAS" (warm/summer); no counter-season column available, so no annual mean could be formed. Source reports alternative SST column(s): SST.for-JAS-i, SST.for-JAS-s. Value used here is "SST.for-JAS". Proxy carrier: Neogloboquadrina pachyderma. SST column "SST.for-JAS" is a July-August-September (boreal summer) estimate, so this is a SUMMER-SIGNAL core. The accompanying "-i" and "-s" columns are probably inferior and superior bounds but are not defined in the source, so they are deliberately not used as uncertainties. Abstract: High-resolution terrestrial (pollen) and marine (planktic and benthic isotopes, coarse fraction, and N. pachyderma (s)) analyses have been performed in the Marine Isotope Stage (MIS) 5 interval of IMAGES core MD99-2331 retrieved in the northwestern Iberian margin. This study shows the occurrence of a Zeifen Interstadial/Stadial succession on land and in the ocean during the first part of MIS 5e. In northwestern Iberia, the Eemian is marked from 126 to 122 ka by the development of deciduous Quercus forest at the same time as Mediterranean forest colonised southern Iberia, and deciduous Quercus-Corylus forest occupied northernmost European regions. From 121 to 115 ka Carpinus betulus forest developed in NW Iberia indicating a winter cooling by 2 °C on land and an increase in annual precipitation by 100–200 mm along with a Sea Surface Temperature (SST) decreasing trend off Iberia.</t>
  </si>
  <si>
    <t>https://www.ncei.noaa.gov/pub/data/paleo/contributions_by_author/nuernberg2006/nuernberg2006.txt</t>
  </si>
  <si>
    <t>Proxy carrier: G. bulloides. Depth converted from metres to centimetres (source column "Depth [mbsf]").</t>
  </si>
  <si>
    <t>https://www.ncei.noaa.gov/pub/data/paleo/contributions_by_author/nuernberg2004b/nuernberg2004b.txt</t>
  </si>
  <si>
    <t>Proxy carrier: G.bulloides. Depth converted from metres to centimetres (source column "Depth [mbsf]").</t>
  </si>
  <si>
    <t>https://www.ncei.noaa.gov/pub/data/paleo/paleocean/by_contributor/harada2006/harada2006.txt</t>
  </si>
  <si>
    <t>An age model was constructed by using multiple proxies: radiocarbon ages of planktonic foraminiferal tests (Neogloboquadrina pachyderma, test sizes &gt; 125 um); oxygen isotopic stratigraphy of benthic foraminifera (Uvigerina akitaensis, test sizes &gt; 180 um); variations of biogenic opal content; and tephrochronology. Eleven 14C ages, 1.85, 3.17, 8.2, 9.76, 23.66, 27.85, 28.91, 36.98, 37.2, 40.89, and 43.45 kyr BP, were determined at the AMS facility of the National Institute | oxygen isotopic stratigraphy of benthic foraminifera (Uvigerina akitaensis, test sizes &gt; 180 um); variations of biogenic opal content; and tephrochronology. Eleven 14C ages, 1.85, 3.17, 8.2, 9.76, 23.66, 27.85, 28.91, 36.98, 37.2, 40.89, and 43.45 kyr BP, were determined at the AMS facility of the National Institute for Environmental Studies of Japan (Tandem Accelerator for Environmental Research and Radiocarbon Analy</t>
  </si>
  <si>
    <t>Proxy carrier: g. Regionally. Depth converted from metres to centimetres (source column "Depth"). alkenone temperature record. A wavelet power spectrum analysis showed that a periodicity of about 8 ky was prominent during 10�90 ky BP, and a 4- to 5- ky cycle was characteristic during 30�40 ky BP in the alkenone temperature records. These periodicities were both similar and dissimilar to those in the Polar Circulation Index, which is based on the atmospheric circulation intensity at high latitudes, as recorded by major-ion concentrations in GISP2. | The calibration equation, UK'37 = 0.034T (DegreeC) + 0.039, was used. | and Radiocarbon Analysis).  The 14C reservoir age, 784 yr, which is the mean northwestern North Pacific reservoir age  (Kuzumin et al., 2001), was used. Radiocarbon ages &lt;21 kyr BP were converted to calendar ages by using the CALIB4.4 program (Stuiver and Braziunas, 1993) and its data set (Stuiver et al., 1998a, 1998b), and ages &gt;21 kyr BP were converted by the polynom</t>
  </si>
  <si>
    <t>https://www.ncei.noaa.gov/pub/data/paleo/contributions_by_author/peterson2019/peterson2019-odp1125-sst.txt</t>
  </si>
  <si>
    <t xml:space="preserve">Chronology_Information | Chronology: Chronology is based upon oxygen isotope stratigraphy using the accompanying benthic ?18O record from Site 1125. After initial age tiepoints were assigned based on visual correlation between the Site 1125 oxygen isotope record and the LR04 benthic ?18O stack, the oxygen isotope record was filtered at the obliquity frequency and tuned peak-to-peak to the obliquity-filtered LR04 benthic ?18O record. rMCD	age (ka) 0.5733287907	145.1141105 4.845430894	311.9429539 5.473060691	349.0295518 | Chronology is based upon oxygen isotope stratigraphy using the accompanying benthic ?18O record from Site 1125. After initial age tiepoints were assigned based on visual correlation between the Site 1125 oxygen isotope record and the LR04 benthic ?18O stack, the oxygen isotope record was filtered at the obliquity frequency and tuned peak-to-peak to the obliquity-filtered </t>
  </si>
  <si>
    <t>Proxy carrier: g. However. Depth converted from metres to centimetres (source column "MCD"). Abstract: The transition from the warm, stable climate of the Pliocene to the progressively colder glaciations of the Pleistocene, as well as the climate system's evolving response to stationary orbital forcing over the Pleistocene, beg important questions about fundamental climate processes relevant to understanding the impacts of modern anthropogenic forcing of the Earth's energy budget. Here, we gain insight into the evolution of Plio-Pleistocene climate by generating an alkenone-derived, orbitally resolved sea surface temperature (SST) record from Ocean Drilling Program Site 1125 in the southwest Pacific. We compare our dataset to mid-latitude and equatorial SST records and to the benthic ?18O signal in order to evaluate similarities and differences in climate response between the hemispheres and across latitudes over the Plio-Pleistocene. Secular trends indicate first order symmetry</t>
  </si>
  <si>
    <t>https://www.ncei.noaa.gov/pub/data/paleo/paleocean/sediment_files/complete/odp847-tab.txt</t>
  </si>
  <si>
    <t>Proxy carrier: g.sac. SST taken from the "sst-mg/ca.adj" column, which is adjusted for variation in seawater Mg/Ca, in preference to the unadjusted Mg/Ca SST column. Confirmed by AC. Variables: depth         Depth (cm) yrBP          radiocarbon years B.P. (Libby half-life; B.P. = 1950) Mg/Ca-g.sac   Magnesium/Calcium ratio (Globigerinoides sacculifer) (mmol/mol) sst-mg/ca     Sea surface temperature from Mg/Ca sst-mg/ca.adj Sea surface temperature from Mg/Ca adjusted for Mg/Ca variation</t>
  </si>
  <si>
    <t>https://www.ncei.noaa.gov/pub/data/paleo/paleocean/sediment_files/complete/gb10083-tab.txt</t>
  </si>
  <si>
    <t>Proxy carrier: G. Ruhland. Uncertainty column used: "sst_err" (1sd, doubled to 2sd). Uncertainty taken from the "sst_err" column (a constant 0.3 degC), NOT from "d18Og.rub250-350_err" (~0.08 degC). The latter is an error on the oxygen-isotope measurement, not on SST, and 0.08 degC is not a physically achievable SST precision. The source does not state whether sst_err is 1sd or 2sd and does not define the column in its variable list; per AC (2026-07-21) it is read as 1sd and doubled, giving a 2sd range of +/-0.6 degC, which is consistent with the ~0.5-0.6 degC uncertainty usually quoted for the Prahl et al. (1988) UK'37 calibration used by this study. (U-k-37, after Brassell et al, 1986) with the temperature calibration of PRAHL, et al.(1988):SST=(Uk37-0.039)/0.034). SST &amp; UK37 data measured 7/15/93. | Variables: depth         Depth (cm) yrBP          radiocarbon years B.P. (Libby half-life; B.P. = 1950) d18Og.rub250-350            delta O18 PDB (Globigerinoides ruber 250-350 micron) sst           Sea Surface Temperature (C) uk37          Alkenone saturation index | depth	yrBP 	Analysis_Date	d18Og.rub250-350	d18Og.rub250-350_err	sst	sst_err	uk37	d18Og.bull250-350	d18Og.bull250-350_err</t>
  </si>
  <si>
    <t>https://www.ncei.noaa.gov/pub/data/paleo/paleocean/sediment_files/complete/gb10163-tab.txt</t>
  </si>
  <si>
    <t>Proxy carrier: G. Ruhland. Uncertainty column used: "sst_err" (1sd, doubled to 2sd). Uncertainty taken from the "sst_err" column (a constant 0.3 degC), NOT from "d18Og.rub250-350_err" (~0.08 degC). The latter is an error on the oxygen-isotope measurement, not on SST, and 0.08 degC is not a physically achievable SST precision. The source does not state whether sst_err is 1sd or 2sd and does not define the column in its variable list; per AC (2026-07-21) it is read as 1sd and doubled, giving a 2sd range of +/-0.6 degC, which is consistent with the ~0.5-0.6 degC uncertainty usually quoted for the Prahl et al. (1988) UK'37 calibration used by this study. (U-k-37, after Brassell et al, 1986) with the temperature calibration of PRAHL, et al.(1988):SST=(Uk37-0.039)/0.034. SST and Uk37 data meas. on 7/15/93. | Variables: depth         Depth (cm) yrBP          radiocarbon years B.P. (Libby half-life; B.P. = 1950) d18Og.bull250-350           delta O18 PDB (Globigerina bulloides 250-350 micron) d18Og.rub250-350            delta O18 PDB (Globigerinoides ruber 250-350 micron) sst           Sea Surface Temperature (C)</t>
  </si>
  <si>
    <t>https://www.ncei.noaa.gov/pub/data/paleo/paleocean/sediment_files/complete/gb10285-tab.txt</t>
  </si>
  <si>
    <t>Proxy carrier: G. Ruhland. Uncertainty column used: "sst_err" (1sd, doubled to 2sd). Uncertainty taken from the "sst_err" column (a constant 0.3 degC), NOT from "d18Og.rub250-350_err" (~0.08 degC). The latter is an error on the oxygen-isotope measurement, not on SST, and 0.08 degC is not a physically achievable SST precision. The source does not state whether sst_err is 1sd or 2sd and does not define the column in its variable list; per AC (2026-07-21) it is read as 1sd and doubled, giving a 2sd range of +/-0.6 degC, which is consistent with the ~0.5-0.6 degC uncertainty usually quoted for the Prahl et al. (1988) UK'37 calibration used by this study. (U-k-37, after Brassell et al, 1986) with the temperature calibration of PRAHL, et al.(1988):SST=(Uk37-0.039)/0.034). SST &amp; UK37 data measured 7/15/93. | Variables: depth         Depth (cm) yrBP          radiocarbon years B.P. (Libby half-life; B.P. = 1950) d18Og.bull250-350           delta O18 PDB (Globigerina bulloides 250-350 micron) d18Og.rub250-350            delta O18 PDB (Globigerinoides ruber 250-350 micron) sst           Sea Surface Temperature (C) | depth	yrBP 	Analysis_Date	d18Og.bull250-350	d18Og.bull250-350_err	d18Og.rub250-350	d18Og.rub250-350_err	sst	sst_err	uk37</t>
  </si>
  <si>
    <t>https://www.ncei.noaa.gov/pub/data/paleo/paleocean/sediment_files/complete/ps1778-5-tab.txt</t>
  </si>
  <si>
    <t>SEASONAL SIGNAL: source reports only "sst-aug" (warm/summer); no counter-season column available, so no annual mean could be formed. Mean sea surface temperature, summer, Dec-March, 10 m water depth, calculated from radiolaria, using Transfer function (Imbrie &amp; Kipp, 1971, in Turekian, Yale Univ Press). Variables: depth         Depth (cm) yrBP          radiocarbon years B.P. (Libby half-life; B.P. = 1950) sst-aug       Sea Surface Temperature (C, August)</t>
  </si>
  <si>
    <t>https://www.ncei.noaa.gov/pub/data/paleo/contributions_by_author/wei2007/wei2007.txt</t>
  </si>
  <si>
    <t>Toward a high resolution stable isotope stratigraphy of the last 1.1 million years, ODP Site 1144, South China Sea.</t>
  </si>
  <si>
    <t>calibration of Nurnberg et al. 2000. | * = age calibration with Calib 4.3 (Stuiver et al., 1998). � = approximate age calibration to GISP2 ages according to van Kreveld et al. (2000) � = approximate age calibration to GISP2 ages according to Voelker et al. (2000), 14C background = planktonic foraminifers from 110 mcd, MIS 5.4 (0.09/0.14% 14C). | � = approximate age calibration to GISP2 ages according to van Kreveld et al. (2000) � = approximate age calibration to GISP2 ages according to Voelker et al. (2000), 14C background = planktonic foraminifers from 110 mcd, MIS 5.4 (0.09/0.14% 14C). | � = approximate age calibration to GISP2 ages according to Voelker et al. (2000), 14C background = planktonic foraminifers from 110 mcd, MIS 5.4 (0.09/0.14% 14C). | SSTs are calculated using the adjusted equation by Nurnberg et al., 2000.</t>
  </si>
  <si>
    <t>https://www.ncei.noaa.gov/pub/data/paleo/paleocean/sediment_files/complete/147-gc14-tab.txt</t>
  </si>
  <si>
    <t>and Griffin, 1999] and a polynomial fit [Bard et al., 1998]. MIS3-5 d18O tuned to Lieseki and Raymo 2005 / Marinson et al 1987. In GC07 the SST-MAT warm season errors range from 2.0�-4.0�C for warm-season estimates, larger than the 1�-1.5�C generally associated with modern analog estimates, in the deglaciation [Samson, 1998]. This is ascribed to the fact that GC07 lies in a zone of frontal movement where SST changes rapidly over small distances. SSTs from Uk'37 have an error</t>
  </si>
  <si>
    <t>SEASONAL SIGNAL: source reports only "sst-warm.uk37.s" (warm/summer); no counter-season column available, so no annual mean could be formed. Source reports alternative SST column(s): sst-MAT.w. Value used here is "sst-warm.uk37.s". Proxy carrier: G. Robertson. Source states "SSTs from Uk'37 have an error of +/-1.5 degC"; this free-text value is used for the -2sd and +2sd columns as stated (not doubled). Confirmed by AC. Variables: depth         Depth (cm) calyrBP       calendar years B.P. (B.P. = 1950) carb%         Calcium Carbonate percent d18Ocibid&gt;150 delta O18 per mil PDB (Cibicidoides spp. &gt;150 micron) sst-warm.uk37.s             sea surface temperature, warm season, from Uk'37, degC, (Sikes and Volkman '93 equation)</t>
  </si>
  <si>
    <t>https://www.ncei.noaa.gov/pub/data/paleo/paleocean/sediment_files/complete/e45-29-tab.txt</t>
  </si>
  <si>
    <t>Annual SST computed as the mean of "sst-aug" (warm/August) and "sst-feb" (cold/February) reported in the source file. Proxy carrier: g. Paleoceanography. Uncertainty column used: "sst-aug_err" (1sd, doubled to 2sd). Variables: depth         Depth (cm) yrBP          radiocarbon years B.P. (Libby half-life; B.P. = 1950) d13C          delta C13 PDB d18O          delta O18 PDB carb%         Calcium Carbonate percent</t>
  </si>
  <si>
    <t>https://www.ncei.noaa.gov/pub/data/paleo/paleocean/sediment_files/complete/e49-17-tab.txt</t>
  </si>
  <si>
    <t>Annual SST computed as the mean of "sst-aug" (warm/August) and "sst-feb" (cold/February) reported in the source file. Proxy carrier: g. Paleoceanography. Uncertainty column used: "sst-aug_err" (1sd, doubled to 2sd). Variables: depth         Depth (cm) yrBP          radiocarbon years B.P. (Libby half-life; B.P. = 1950) carb%         Calcium Carbonate percent cfrac%&gt;150    Coarse fraction percent (&gt;150 micron) d13C          delta C13 PDB</t>
  </si>
  <si>
    <t>https://www.ncei.noaa.gov/pub/data/paleo/paleocean/sediment_files/complete/e49-18-tab.txt</t>
  </si>
  <si>
    <t>Annual SST computed as the mean of "sst-aug" (warm/August) and "sst-feb" (cold/February) reported in the source file. Proxy carrier: g. Paleoceanography. Uncertainty column used: "sst-aug_err" (1sd, doubled to 2sd). Variables: depth         Depth (cm) yrBP          radiocarbon years B.P. (Libby half-life; B.P. = 1950) d13C          delta C13 PDB d18O          delta O18 PDB Dsqchord      Squared-chord distance</t>
  </si>
  <si>
    <t>https://www.ncei.noaa.gov/pub/data/paleo/paleocean/sediment_files/complete/e49-21-tab.txt</t>
  </si>
  <si>
    <t>https://www.ncei.noaa.gov/pub/data/paleo/paleocean/sediment_files/complete/r12-225r-tab.txt</t>
  </si>
  <si>
    <t>Proxy carrier: G. bulloides. Variables: depth         Depth (cm) yrBP          radiocarbon years B.P. (Libby half-life; B.P. = 1950) d18O          delta O18 PDB temp          Temperature (C) Cd/Ca         Cadmium/Calcium ratio</t>
  </si>
  <si>
    <t>https://www.ncei.noaa.gov/pub/data/paleo/contributions_by_author/mcclymont2016/mcclymont2016-dsdp593.txt</t>
  </si>
  <si>
    <t>Notes: The age model derived from benthic d18O measurements tuned to the LR04 stack --------------------------------------- Chronology_Information | Chronology_Information | Chronology: Stratigraphic tie-points and references depth_mbsf age_Ma material_analysed tie_point | Stratigraphic tie-points and references depth_mbsf age_Ma material_analysed tie_point reference</t>
  </si>
  <si>
    <t>Proxy carrier: Uvigerina peregrina. Depth converted from metres to centimetres (source column "depth_mbsf"). material_analysed tie_point reference | depth_mbsf	age_Ma	material_analysed	tie_point	reference 0.31	0.0159	not stated	calibrated radiocarbon measurement (14C AMS)	Dudley &amp; Nelson [1989] 0.81	0.088	Planulina wuellerstorfi d18O	LR04	Elmore et al. [2015] 1.8	0.123	Planulina wuellerstorfi d18O	LR04	Elmore et al. [2015] 2.31	0.138	Planulina wuellerstorfi d18O	LR04	Elmore et al. [2015] 3.18	0.186	Planulina wuellerstorfi d18O	LR04	Elmore et al. [2015] | 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depth_mbsf	depth,,,m,,,mbsf,, age_Ma	age,,,Ma,,,,, UK37	Alkenone unsaturation index,Alkenones,,,,Paleocea</t>
  </si>
  <si>
    <t>https://www.ncei.noaa.gov/pub/data/paleo/contributions_by_author/martinez-garcia2010/martinez-garcia2010.txt</t>
  </si>
  <si>
    <t>Proxy carrier: G.H. based on the analysis of alkenone unsaturation indices in marine sediments.  Cores are located in the sub-Arctic Pacific (ODP Site 882) and the sub-Antarctic Atlantic (ODP Site 1090).  The percentage of the C37:4 alkenone relative to the total abundance of C37 alkenones (%C37:4) in these records is an additional tracer that can be used to infer variations in the meridional extent of polar and subpolar</t>
  </si>
  <si>
    <t>https://www.ncei.noaa.gov/pub/data/paleo/contributions_by_author/windler2022/vm19-193_windler2022.txt</t>
  </si>
  <si>
    <t>SST is the CENTRAL estimate "sst_uk_med"; the source also publishes the credible-interval bounds sst_uk_low, sst_uk_high, which are NOT the mean and must not be read as such. Those bounds are a 90% interval, so each side has been rescaled about the central value by 2/1.645 = 1.2159 to express it as +/-2sd for columns S and U (AC, 2026-07-21). The rescaling is applied to each side independently, so an asymmetric interval remains asymmetric. Variables | Data variables follow that are preceded by "##" in columns one and two. | Variables list, one per line, shortname-tab-var components: what, material, error, units, seasonality, data type, detail, method, C or N for Character or Numeric data)</t>
  </si>
  <si>
    <t>https://www.ncei.noaa.gov/pub/data/paleo/contributions_by_author/dyez2014-grl/dyez2014-grl.txt</t>
  </si>
  <si>
    <t>Chronology -------------------------------- Variables</t>
  </si>
  <si>
    <t>Proxy carrier: g. The. Depth converted from metres to centimetres (source column "depth_m"). Variables | Data variables follow (have double marker- "##") | Data line variables format:  Variables list, one per line, shortname-tab-nine components: what, material, error, units, seasonality, archive, detail, method, C or N for Character or Numeric data) depth_m  Depth,,,m,,,,,N age_calkaBP  age,,,calendar kiloyears before 1950,,,,,N d18Ouvig  delta 18O,Uvigerina spp.,,per mil VPDB,,Paleoceanography,250-355 µm,,N Mg/Ca-g.rub-w	Magnesium Calcium ratio,Globigerinoides ruber white,, mmol/mol,,Paleoceanography,250-355 µm,,N SST-Mg/Ca-g.rub-w sea-surface temperature,Mg/Ca Globigerinoides ruber white,,degrees C,,Paleoceanography,,Using formula from Dyez and Ravelo(2013),N</t>
  </si>
  <si>
    <t>https://www.ncei.noaa.gov/pub/data/paleo/contributions_by_author/degaridel-thoron2005/degaridel-thoron2005.txt</t>
  </si>
  <si>
    <t>Proxy carrier: g. Here.</t>
  </si>
  <si>
    <t>https://www.ncei.noaa.gov/pub/data/paleo/contributions_by_author/ikehara2000/</t>
  </si>
  <si>
    <t>Alkenone SST from the UK'37 unsaturation index (source column "UK37'", reported alongside "SST"). Depth in cm, age in ka converted to years BP. Core ID recorded as TSP-2PC per the data-table title "Summary of Mass Accumulation Rates of Biomarkers for the Penultimate Deglaciation from a Sediment Core TSP-2PC"; NCEI files the same study under site TSP-2MC. AC confirmed TSP-2PC on 2026-07-21 on the grounds that a 165-199 cm record spanning 112-144 ka is piston-core sampling, not a multicore. Source reports no SST uncertainty.</t>
  </si>
  <si>
    <t>https://www.ncei.noaa.gov/pub/data/paleo/contributions_by_author/herbert2016/herbert2016-med.txt</t>
  </si>
  <si>
    <t>Description: Note: age models for Sites 907 and 982 refined following publication of Herbert et al., 2016 NGS | Abstract: Research on sediments recovered during Ocean Drilling Leg 160 has concentrated on two issues: the first concerned the stratigraphy of sapropel formation, the second was oriented to clarify specific processes that explain sapropel origin. Progress has been made in the construction of stratigraphic composites out of sedimentary sequences from individual holes at each of the palaeoceanographic sites. On the composites, initial work has resulted in the establishment of high-resolution and intermediate-resolution stratigraphies for three sites (963, 964, 967); correlation of sedimentary cycles to astronomical (insolation) cycles extends the stratigraphies to Sites 969 and 966. The sapropel occurrences in the marine and land sequences over the entire Eastern Mediterranean a</t>
  </si>
  <si>
    <t>Alkenone SST from the UK'37 unsaturation index. Value used is the source column "SST_P" (calibration of Prahl et al. 1988). The file also reports "SST_M" (calibration of Muller et al. 1998), which over these 21 in-window samples ranges 16.47-23.46 degC. SST_P was chosen by AC (2026-07-21) for consistency with the other herbert2016 cores in this compilation (ODP 982, ODP 846, ODP 722), which also use SST_P. Depth converted from metres (composite depth mcd where available, else mbsf) to centimetres. Age reported in ka BP, converted to years BP. Chronology follows Tzanova et al. 2015, Herbert et al. 2014 and Emeis et al. 2000, 2003. Source reports no SST uncertainty; the age_uncert_ka column is an AGE uncertainty and is deliberately not used as an SST error. 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</si>
  <si>
    <t>https://www.ncei.noaa.gov/pub/data/paleo/contributions_by_author/bova2020/bova2020-u1485-sst.txt</t>
  </si>
  <si>
    <t>Parameter_Keywords: trace metals in carbonates, age control, geochemistry --------------------------------------- Contribution_Date | Chronology_Information | Chronology:</t>
  </si>
  <si>
    <t>Source reports alternative SST column(s) based on differnet calibration methods: sstsn_anand (from Anand calibrations) and sstsn_bay (from BAYMAG calibrations). Value used here is the average of the two methods. Manually edited. Proxy carrier: G. ruber. Stated uncertainty in source: ## sst_anom_ave_err. Uncertainty column used: "sstsn_anom_ave_err" (1sd, doubled to 2sd). Depth converted from metres to centimetres (source column "depth_m"). NOT an interval-average product: the source reports a per-sample age for every SST value. The reported uncertainty applies to the SST ANOMALY, so the baseline was derived as (SST - SST_anom) and used to place the error on absolute SST. Confirmed by AC.</t>
  </si>
  <si>
    <t>IODP U1482</t>
  </si>
  <si>
    <t>https://www.ncei.noaa.gov/pub/data/paleo/paleocean/indian_ocean/tran2025/tran2025-u1482-bio-sst.txt</t>
  </si>
  <si>
    <t>Chronology_Information | Chronology: --------------------------------------- Variables</t>
  </si>
  <si>
    <t>Manually edited by AC (2026-07-21). Source reports alternative SST column(s): sst_uk_med, sst_uk_high, sst_tex_low, sst_tex_med, sst_tex_high. Value used here is "sst_uk_med". Columns S and U are derived from the source bounds sst_uk_low and sst_uk_high, which are a 90% credible interval (5th, 95th percentile) from the BAYSPLINE Bayesian calibration, NOT a 2sd range. Each side has been rescaled about the median by 2/1.645 = 1.2159 so that S and U express +/-2sd and are directly comparable with the other cores in this workbook. The rescaling is applied to each side independently, so the asymmetry of the Bayesian interval is preserved. Depth converted from metres to centimetres (source column "sample_depth_cm"). 'depth' column manually excluded because deeper cores reported younger age, which contradicts. therefore, source txt file may be problematic.</t>
  </si>
  <si>
    <t>Manually edited by AC (2026-07-21). Source reports alternative SST column(s): sst_uk_med, sst_uk_high, sst_tex_low, sst_tex_med, sst_tex_high. Mean value used here is "sst_tex_med". Columns S and U are derived from the source bounds sst_tex_low and sst_tex_high, which are a 90% credible interval (5th, 95th percentile) from the BAYSPAR Bayesian calibration, NOT a 2sd range. Each side has been rescaled about the median by 2/1.645 = 1.2159 so that S and U express +/-2sd and are directly comparable with the other cores in this workbook. The rescaling is applied to each side independently, so the asymmetry of the Bayesian interval is preserved. tetraether index of 86 carbon atoms, high-performance liquid chromatography Depth converted from metres to centimetres (source column "sample_depth_cm"). 'depth' column manually excluded because deeper cores reported younger age, which contradicts. therefore, source txt file may be problematic.</t>
  </si>
  <si>
    <t>Core ID (and proxy, if applicable)</t>
  </si>
  <si>
    <t>KNR191-CDH19</t>
  </si>
  <si>
    <t>Sikes, E. L., W. R. Howard, C. R. Samson, T. S. Mahan, L. G. Robertson, and J. K. Volkman (2009), Southern Ocean seasonal temperature and Subtropical Front movement on the South Tasman Rise in the late Quaternary, Paleoceanography, 24, PA2201, doi:10.1029/2008PA001659</t>
  </si>
  <si>
    <t>Sikes, E. L., W. R. Howard, C. R. Samson, T. S. Mahan, L. G. Robertson, and J. K. Volkman (2009), Southern Ocean seasonal temperature and Subtropical Front movement on the South Tasman Rise in the late Quaternary, Paleoceanography, 24, PA2201, doi:10.1029/2008PA001659.</t>
  </si>
  <si>
    <t>10.1029/2008PA001659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</si>
</sst>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2"/>
      <color theme="1"/>
      <name val="Helvetica"/>
      <family val="2"/>
    </font>
    <font>
      <sz val="10"/>
      <name val="Arial"/>
      <family val="2"/>
    </font>
    <font>
      <u/>
      <sz val="12"/>
      <color theme="10"/>
      <name val="Helvetica"/>
      <family val="2"/>
    </font>
    <font>
      <u/>
      <sz val="12"/>
      <color theme="11"/>
      <name val="Helvetica"/>
      <family val="2"/>
    </font>
    <font>
      <sz val="10"/>
      <name val="Verdana"/>
      <family val="2"/>
    </font>
    <font>
      <sz val="12"/>
      <color theme="1"/>
      <name val="Calibri"/>
      <family val="2"/>
      <scheme val="minor"/>
    </font>
    <font>
      <b/>
      <sz val="11"/>
      <color theme="1"/>
      <name val="Calibri"/>
      <family val="2"/>
    </font>
    <font>
      <sz val="11"/>
      <color theme="1"/>
      <name val="Calibri"/>
      <family val="2"/>
    </font>
    <font>
      <sz val="10"/>
      <color rgb="FF000000"/>
      <name val="Arial Unicode MS"/>
      <family val="2"/>
    </font>
    <font>
      <sz val="12"/>
      <color rgb="FF000000"/>
      <name val="Aptos Narrow"/>
      <family val="2"/>
    </font>
    <font>
      <sz val="10"/>
      <name val="Helvetica"/>
      <family val="2"/>
    </font>
    <font>
      <sz val="11"/>
      <color theme="1"/>
      <name val="Helvetica"/>
      <family val="2"/>
    </font>
    <font>
      <b/>
      <sz val="12"/>
      <color rgb="FFFFFFFF"/>
      <name val="Helvetica"/>
      <family val="2"/>
    </font>
    <font>
      <b/>
      <sz val="12"/>
      <color theme="1"/>
      <name val="Helvetica"/>
      <family val="2"/>
    </font>
  </fonts>
  <fills count="3">
    <fill>
      <patternFill patternType="none"/>
    </fill>
    <fill>
      <patternFill patternType="gray125"/>
    </fill>
    <fill>
      <patternFill patternType="solid">
        <fgColor rgb="FF1F3B5C"/>
      </patternFill>
    </fill>
  </fills>
  <borders count="1">
    <border>
      <left/>
      <right/>
      <top/>
      <bottom/>
      <diagonal/>
    </border>
  </borders>
  <cellStyleXfs count="6">
    <xf numFmtId="0" fontId="0" fillId="0" borderId="0"/>
    <xf numFmtId="0" fontId="1" fillId="0" borderId="0"/>
    <xf numFmtId="0" fontId="2" fillId="0" borderId="0"/>
    <xf numFmtId="0" fontId="3" fillId="0" borderId="0"/>
    <xf numFmtId="0" fontId="4" fillId="0" borderId="0"/>
    <xf numFmtId="0" fontId="5" fillId="0" borderId="0"/>
  </cellStyleXfs>
  <cellXfs count="28">
    <xf numFmtId="0" fontId="0" fillId="0" borderId="0" xfId="0"/>
    <xf numFmtId="2" fontId="0" fillId="0" borderId="0" xfId="0" applyNumberFormat="1"/>
    <xf numFmtId="49" fontId="0" fillId="0" borderId="0" xfId="0" applyNumberFormat="1"/>
    <xf numFmtId="49" fontId="6" fillId="0" borderId="0" xfId="0" applyNumberFormat="1" applyFont="1"/>
    <xf numFmtId="49" fontId="7" fillId="0" borderId="0" xfId="0" applyNumberFormat="1" applyFont="1"/>
    <xf numFmtId="49" fontId="1" fillId="0" borderId="0" xfId="1" applyNumberFormat="1"/>
    <xf numFmtId="0" fontId="7" fillId="0" borderId="0" xfId="0" applyFont="1"/>
    <xf numFmtId="49" fontId="2" fillId="0" borderId="0" xfId="0" applyNumberFormat="1" applyFont="1"/>
    <xf numFmtId="49" fontId="8" fillId="0" borderId="0" xfId="0" applyNumberFormat="1" applyFont="1"/>
    <xf numFmtId="0" fontId="1" fillId="0" borderId="0" xfId="1"/>
    <xf numFmtId="2" fontId="7" fillId="0" borderId="0" xfId="0" applyNumberFormat="1" applyFont="1"/>
    <xf numFmtId="2" fontId="1" fillId="0" borderId="0" xfId="1" applyNumberFormat="1"/>
    <xf numFmtId="2" fontId="8" fillId="0" borderId="0" xfId="0" applyNumberFormat="1" applyFont="1"/>
    <xf numFmtId="1" fontId="1" fillId="0" borderId="0" xfId="1" applyNumberFormat="1"/>
    <xf numFmtId="1" fontId="0" fillId="0" borderId="0" xfId="0" applyNumberFormat="1"/>
    <xf numFmtId="164" fontId="0" fillId="0" borderId="0" xfId="0" applyNumberFormat="1"/>
    <xf numFmtId="0" fontId="9" fillId="0" borderId="0" xfId="0" applyFont="1"/>
    <xf numFmtId="0" fontId="8" fillId="0" borderId="0" xfId="0" applyFont="1"/>
    <xf numFmtId="1" fontId="10" fillId="0" borderId="0" xfId="0" applyNumberFormat="1" applyFont="1"/>
    <xf numFmtId="0" fontId="10" fillId="0" borderId="0" xfId="0" applyFont="1"/>
    <xf numFmtId="49" fontId="11" fillId="0" borderId="0" xfId="0" applyNumberFormat="1" applyFont="1"/>
    <xf numFmtId="0" fontId="12" fillId="2" borderId="0" xfId="0" applyFont="1" applyFill="1" applyAlignment="1">
      <alignment vertical="center"/>
    </xf>
    <xf numFmtId="0" fontId="0" fillId="0" borderId="0" xfId="0" applyAlignment="1">
      <alignment horizontal="center"/>
    </xf>
    <xf numFmtId="0" fontId="0" fillId="0" borderId="0" xfId="0"/>
    <xf numFmtId="0" fontId="0" fillId="0" borderId="0" xfId="0" applyBorder="1"/>
    <xf numFmtId="0" fontId="0" fillId="0" borderId="0" xfId="0" applyBorder="1" applyAlignment="1">
      <alignment horizontal="center"/>
    </xf>
    <xf numFmtId="0" fontId="0" fillId="0" borderId="0" xfId="0" applyBorder="1"/>
    <xf numFmtId="0" fontId="13" fillId="0" borderId="0" xfId="0" applyFont="1"/>
  </cellXfs>
  <cellStyles count="6">
    <cellStyle name="Followed Hyperlink" xfId="3" builtinId="9" hidden="1"/>
    <cellStyle name="Hyperlink" xfId="2" builtinId="8" hidden="1"/>
    <cellStyle name="Normal" xfId="0" builtinId="0"/>
    <cellStyle name="Normal 2" xfId="4" xr:uid="{00000000-0005-0000-0000-000004000000}"/>
    <cellStyle name="Normal 2 2" xfId="5" xr:uid="{00000000-0005-0000-0000-000005000000}"/>
    <cellStyle name="Normal 3"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ncei.noaa.gov/pub/data/paleo/contributions_by_author/li2017/li2017.tx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cei.noaa.gov/pub/data/paleo/contributions_by_author/li2017/li2017.tx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cei.noaa.gov/pub/data/paleo/contributions_by_author/clemens2021/clemens2021-u1446-mgca-noaa.tx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ncei.noaa.gov/pub/data/paleo/contributions_by_author/henry2016/henry2016sst.tx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odp1014a-tab.tx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odp999a-tab.tx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u939-tab.tx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ncei.noaa.gov/pub/data/paleo/contributions_by_author/crosta2004/crosta2004.txt"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ncei.noaa.gov/pub/data/paleo/paleocean/sediment_files/complete/md2-2575-tab.txt"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rc10-62_sst.ag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rc13-110_sst.ager"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v19-29_sst.ager"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vntr1-8_sst.ager"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ncei.noaa.gov/pub/data/paleo/contributions_by_author/dyez2016/dyez2016-sst-merge.txt"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ncei.noaa.gov/pub/data/paleo/reconstructions/kumar2022/nh22p_kumar2022.txt"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ncei.noaa.gov/pub/data/paleo/contributions_by_author/lea2004/lea2004.txt"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sk157_4-tab.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7"/>
  <sheetViews>
    <sheetView tabSelected="1" zoomScale="56" workbookViewId="0">
      <pane ySplit="1" topLeftCell="A2" activePane="bottomLeft" state="frozen"/>
      <selection pane="bottomLeft" activeCell="A76" sqref="A76"/>
    </sheetView>
  </sheetViews>
  <sheetFormatPr baseColWidth="10" defaultColWidth="8.7109375" defaultRowHeight="16" x14ac:dyDescent="0.2"/>
  <cols>
    <col min="1" max="1" width="28.7109375" style="27" customWidth="1"/>
    <col min="2" max="2" width="12" customWidth="1"/>
    <col min="3" max="3" width="11" customWidth="1"/>
    <col min="4" max="4" width="42.85546875" customWidth="1"/>
    <col min="5" max="5" width="120" customWidth="1"/>
  </cols>
  <sheetData>
    <row r="1" spans="1:5" x14ac:dyDescent="0.2">
      <c r="A1" s="21" t="s">
        <v>337</v>
      </c>
      <c r="B1" s="21" t="s">
        <v>1</v>
      </c>
      <c r="C1" s="21" t="s">
        <v>2</v>
      </c>
      <c r="D1" s="21" t="s">
        <v>32</v>
      </c>
      <c r="E1" s="21" t="s">
        <v>21</v>
      </c>
    </row>
    <row r="2" spans="1:5" x14ac:dyDescent="0.2">
      <c r="A2" s="27" t="s">
        <v>33</v>
      </c>
      <c r="B2" s="1">
        <v>116.566</v>
      </c>
      <c r="C2" s="1">
        <v>18.835999999999999</v>
      </c>
      <c r="D2" t="s">
        <v>34</v>
      </c>
      <c r="E2" t="s">
        <v>35</v>
      </c>
    </row>
    <row r="3" spans="1:5" x14ac:dyDescent="0.2">
      <c r="A3" s="27" t="s">
        <v>36</v>
      </c>
      <c r="B3" s="1">
        <v>116.566</v>
      </c>
      <c r="C3" s="1">
        <v>18.835999999999999</v>
      </c>
      <c r="D3" t="s">
        <v>34</v>
      </c>
      <c r="E3" t="s">
        <v>35</v>
      </c>
    </row>
    <row r="4" spans="1:5" x14ac:dyDescent="0.2">
      <c r="A4" s="27" t="s">
        <v>37</v>
      </c>
      <c r="B4" s="1">
        <v>85.733000000000004</v>
      </c>
      <c r="C4" s="1">
        <v>19.082999999999998</v>
      </c>
      <c r="D4" t="s">
        <v>38</v>
      </c>
      <c r="E4" t="s">
        <v>39</v>
      </c>
    </row>
    <row r="5" spans="1:5" x14ac:dyDescent="0.2">
      <c r="A5" s="27" t="s">
        <v>338</v>
      </c>
      <c r="B5" s="1">
        <v>-57.575980000000001</v>
      </c>
      <c r="C5" s="1">
        <v>33.6907</v>
      </c>
      <c r="D5" t="s">
        <v>40</v>
      </c>
      <c r="E5" t="s">
        <v>41</v>
      </c>
    </row>
    <row r="6" spans="1:5" x14ac:dyDescent="0.2">
      <c r="A6" s="27" t="s">
        <v>42</v>
      </c>
      <c r="B6" s="1">
        <v>-122.2833</v>
      </c>
      <c r="C6" s="1">
        <v>34.533329999999999</v>
      </c>
      <c r="D6" t="s">
        <v>43</v>
      </c>
      <c r="E6" t="s">
        <v>29</v>
      </c>
    </row>
    <row r="7" spans="1:5" x14ac:dyDescent="0.2">
      <c r="A7" s="27" t="s">
        <v>27</v>
      </c>
      <c r="B7" s="1">
        <v>-118.9</v>
      </c>
      <c r="C7" s="1">
        <v>-32.799999999999997</v>
      </c>
      <c r="D7" t="s">
        <v>43</v>
      </c>
      <c r="E7" t="s">
        <v>29</v>
      </c>
    </row>
    <row r="8" spans="1:5" x14ac:dyDescent="0.2">
      <c r="A8" s="27" t="s">
        <v>44</v>
      </c>
      <c r="B8" s="1">
        <v>-78.73</v>
      </c>
      <c r="C8" s="1">
        <v>12.75</v>
      </c>
      <c r="D8" t="s">
        <v>45</v>
      </c>
      <c r="E8" t="s">
        <v>46</v>
      </c>
    </row>
    <row r="9" spans="1:5" x14ac:dyDescent="0.2">
      <c r="A9" s="27" t="s">
        <v>47</v>
      </c>
      <c r="B9" s="1">
        <v>179.3</v>
      </c>
      <c r="C9" s="1">
        <v>-44.32</v>
      </c>
      <c r="D9" t="s">
        <v>48</v>
      </c>
      <c r="E9" t="s">
        <v>49</v>
      </c>
    </row>
    <row r="10" spans="1:5" x14ac:dyDescent="0.2">
      <c r="A10" s="27" t="s">
        <v>50</v>
      </c>
      <c r="B10" s="1">
        <v>160.22999999999999</v>
      </c>
      <c r="C10" s="1">
        <v>-56.67</v>
      </c>
      <c r="D10" t="s">
        <v>51</v>
      </c>
      <c r="E10" t="s">
        <v>52</v>
      </c>
    </row>
    <row r="11" spans="1:5" x14ac:dyDescent="0.2">
      <c r="A11" s="27" t="s">
        <v>53</v>
      </c>
      <c r="B11" s="1">
        <v>-87.118889999999993</v>
      </c>
      <c r="C11" s="1">
        <v>29.001670000000001</v>
      </c>
      <c r="D11" t="s">
        <v>54</v>
      </c>
      <c r="E11" t="s">
        <v>55</v>
      </c>
    </row>
    <row r="12" spans="1:5" x14ac:dyDescent="0.2">
      <c r="A12" s="27" t="s">
        <v>56</v>
      </c>
      <c r="B12" s="1">
        <v>-101.43</v>
      </c>
      <c r="C12" s="1">
        <v>3.2</v>
      </c>
      <c r="D12" t="s">
        <v>57</v>
      </c>
      <c r="E12" t="s">
        <v>58</v>
      </c>
    </row>
    <row r="13" spans="1:5" x14ac:dyDescent="0.2">
      <c r="A13" s="27" t="s">
        <v>59</v>
      </c>
      <c r="B13" s="1">
        <v>-96.08</v>
      </c>
      <c r="C13" s="1">
        <v>0.1</v>
      </c>
      <c r="D13" t="s">
        <v>57</v>
      </c>
      <c r="E13" t="s">
        <v>58</v>
      </c>
    </row>
    <row r="14" spans="1:5" x14ac:dyDescent="0.2">
      <c r="A14" s="27" t="s">
        <v>60</v>
      </c>
      <c r="B14" s="1">
        <v>-104.5</v>
      </c>
      <c r="C14" s="1">
        <v>-1.38</v>
      </c>
      <c r="D14" t="s">
        <v>57</v>
      </c>
      <c r="E14" t="s">
        <v>58</v>
      </c>
    </row>
    <row r="15" spans="1:5" x14ac:dyDescent="0.2">
      <c r="A15" s="27" t="s">
        <v>61</v>
      </c>
      <c r="B15" s="1">
        <v>-83.57</v>
      </c>
      <c r="C15" s="1">
        <v>-3.25</v>
      </c>
      <c r="D15" t="s">
        <v>57</v>
      </c>
      <c r="E15" t="s">
        <v>58</v>
      </c>
    </row>
    <row r="16" spans="1:5" x14ac:dyDescent="0.2">
      <c r="A16" s="27" t="s">
        <v>62</v>
      </c>
      <c r="B16" s="1">
        <v>-110.48</v>
      </c>
      <c r="C16" s="1">
        <v>0.03</v>
      </c>
      <c r="D16" t="s">
        <v>57</v>
      </c>
      <c r="E16" t="s">
        <v>58</v>
      </c>
    </row>
    <row r="17" spans="1:5" x14ac:dyDescent="0.2">
      <c r="A17" s="27" t="s">
        <v>63</v>
      </c>
      <c r="B17" s="1">
        <v>-86.55</v>
      </c>
      <c r="C17" s="1">
        <v>2.98</v>
      </c>
      <c r="D17" t="s">
        <v>57</v>
      </c>
      <c r="E17" t="s">
        <v>58</v>
      </c>
    </row>
    <row r="18" spans="1:5" x14ac:dyDescent="0.2">
      <c r="A18" s="27" t="s">
        <v>64</v>
      </c>
      <c r="B18" s="1">
        <v>-86.48</v>
      </c>
      <c r="C18" s="1">
        <v>0.1</v>
      </c>
      <c r="D18" t="s">
        <v>57</v>
      </c>
      <c r="E18" t="s">
        <v>58</v>
      </c>
    </row>
    <row r="19" spans="1:5" x14ac:dyDescent="0.2">
      <c r="A19" s="27" t="s">
        <v>65</v>
      </c>
      <c r="B19" s="1">
        <v>-85.25</v>
      </c>
      <c r="C19" s="1">
        <v>7.28</v>
      </c>
      <c r="D19" t="s">
        <v>57</v>
      </c>
      <c r="E19" t="s">
        <v>58</v>
      </c>
    </row>
    <row r="20" spans="1:5" x14ac:dyDescent="0.2">
      <c r="A20" s="27" t="s">
        <v>66</v>
      </c>
      <c r="B20" s="1">
        <v>-106.95</v>
      </c>
      <c r="C20" s="1">
        <v>-6.63</v>
      </c>
      <c r="D20" t="s">
        <v>57</v>
      </c>
      <c r="E20" t="s">
        <v>58</v>
      </c>
    </row>
    <row r="21" spans="1:5" x14ac:dyDescent="0.2">
      <c r="A21" s="27" t="s">
        <v>67</v>
      </c>
      <c r="B21" s="1">
        <v>-77.569999999999993</v>
      </c>
      <c r="C21" s="1">
        <v>-16.45</v>
      </c>
      <c r="D21" t="s">
        <v>57</v>
      </c>
      <c r="E21" t="s">
        <v>58</v>
      </c>
    </row>
    <row r="22" spans="1:5" x14ac:dyDescent="0.2">
      <c r="A22" s="27" t="s">
        <v>68</v>
      </c>
      <c r="B22" s="1">
        <v>-82.080830000000006</v>
      </c>
      <c r="C22" s="1">
        <v>-0.67200000000000004</v>
      </c>
      <c r="D22" t="s">
        <v>69</v>
      </c>
      <c r="E22" t="s">
        <v>70</v>
      </c>
    </row>
    <row r="23" spans="1:5" x14ac:dyDescent="0.2">
      <c r="A23" s="27" t="s">
        <v>71</v>
      </c>
      <c r="B23" s="1">
        <v>-106.52</v>
      </c>
      <c r="C23" s="1">
        <v>22.52</v>
      </c>
      <c r="D23" t="s">
        <v>72</v>
      </c>
      <c r="E23" t="s">
        <v>73</v>
      </c>
    </row>
    <row r="24" spans="1:5" x14ac:dyDescent="0.2">
      <c r="A24" s="27" t="s">
        <v>74</v>
      </c>
      <c r="B24" s="1">
        <v>-90.95</v>
      </c>
      <c r="C24" s="1">
        <v>2.25</v>
      </c>
      <c r="D24" t="s">
        <v>75</v>
      </c>
      <c r="E24" t="s">
        <v>76</v>
      </c>
    </row>
    <row r="25" spans="1:5" x14ac:dyDescent="0.2">
      <c r="A25" s="27" t="s">
        <v>77</v>
      </c>
      <c r="B25" s="1">
        <v>78</v>
      </c>
      <c r="C25" s="1">
        <v>2.67</v>
      </c>
      <c r="D25" t="s">
        <v>78</v>
      </c>
      <c r="E25" t="s">
        <v>79</v>
      </c>
    </row>
    <row r="26" spans="1:5" x14ac:dyDescent="0.2">
      <c r="A26" s="27" t="s">
        <v>80</v>
      </c>
      <c r="B26" s="1">
        <v>5.1303330000000003</v>
      </c>
      <c r="C26" s="1">
        <v>-53.180349999999997</v>
      </c>
      <c r="D26" t="s">
        <v>81</v>
      </c>
      <c r="E26" t="s">
        <v>82</v>
      </c>
    </row>
    <row r="27" spans="1:5" x14ac:dyDescent="0.2">
      <c r="A27" s="27" t="s">
        <v>83</v>
      </c>
      <c r="B27" s="1">
        <v>159.24432999999999</v>
      </c>
      <c r="C27" s="1">
        <v>-2.8833000000000001E-2</v>
      </c>
      <c r="D27" t="s">
        <v>84</v>
      </c>
      <c r="E27" t="s">
        <v>85</v>
      </c>
    </row>
    <row r="28" spans="1:5" x14ac:dyDescent="0.2">
      <c r="A28" s="27" t="s">
        <v>86</v>
      </c>
      <c r="B28" s="1">
        <v>159.35</v>
      </c>
      <c r="C28" s="1">
        <v>0.32</v>
      </c>
      <c r="D28" t="s">
        <v>87</v>
      </c>
      <c r="E28" t="s">
        <v>88</v>
      </c>
    </row>
    <row r="29" spans="1:5" x14ac:dyDescent="0.2">
      <c r="A29" s="27" t="s">
        <v>89</v>
      </c>
      <c r="B29" s="1">
        <v>44.4</v>
      </c>
      <c r="C29" s="1">
        <v>12.15</v>
      </c>
      <c r="D29" t="s">
        <v>90</v>
      </c>
      <c r="E29" t="s">
        <v>91</v>
      </c>
    </row>
    <row r="30" spans="1:5" x14ac:dyDescent="0.2">
      <c r="A30" s="27" t="s">
        <v>92</v>
      </c>
      <c r="B30" s="1">
        <v>46.03</v>
      </c>
      <c r="C30" s="1">
        <v>-0.02</v>
      </c>
      <c r="D30" t="s">
        <v>93</v>
      </c>
      <c r="E30" t="s">
        <v>94</v>
      </c>
    </row>
    <row r="31" spans="1:5" x14ac:dyDescent="0.2">
      <c r="A31" s="27" t="s">
        <v>95</v>
      </c>
      <c r="B31" s="1">
        <v>73.88</v>
      </c>
      <c r="C31" s="1">
        <v>5.07</v>
      </c>
      <c r="D31" t="s">
        <v>93</v>
      </c>
      <c r="E31" t="s">
        <v>94</v>
      </c>
    </row>
    <row r="32" spans="1:5" x14ac:dyDescent="0.2">
      <c r="A32" s="27" t="s">
        <v>96</v>
      </c>
      <c r="B32" s="1">
        <v>50.43</v>
      </c>
      <c r="C32" s="1">
        <v>3.18</v>
      </c>
      <c r="D32" t="s">
        <v>93</v>
      </c>
      <c r="E32" t="s">
        <v>94</v>
      </c>
    </row>
    <row r="33" spans="1:5" x14ac:dyDescent="0.2">
      <c r="A33" s="27" t="s">
        <v>97</v>
      </c>
      <c r="B33" s="1">
        <v>53.25</v>
      </c>
      <c r="C33" s="1">
        <v>13.7</v>
      </c>
      <c r="D33" t="s">
        <v>93</v>
      </c>
      <c r="E33" t="s">
        <v>94</v>
      </c>
    </row>
    <row r="34" spans="1:5" x14ac:dyDescent="0.2">
      <c r="A34" s="27" t="s">
        <v>98</v>
      </c>
      <c r="B34" s="1">
        <v>103.879</v>
      </c>
      <c r="C34" s="1">
        <v>-6.3280000000000003</v>
      </c>
      <c r="D34" t="s">
        <v>99</v>
      </c>
      <c r="E34" t="s">
        <v>100</v>
      </c>
    </row>
    <row r="35" spans="1:5" x14ac:dyDescent="0.2">
      <c r="A35" s="27" t="s">
        <v>101</v>
      </c>
      <c r="B35" s="1">
        <v>-15.8665</v>
      </c>
      <c r="C35" s="1">
        <v>57.517000000000003</v>
      </c>
      <c r="D35" t="s">
        <v>102</v>
      </c>
      <c r="E35" t="s">
        <v>103</v>
      </c>
    </row>
    <row r="36" spans="1:5" x14ac:dyDescent="0.2">
      <c r="A36" s="27" t="s">
        <v>104</v>
      </c>
      <c r="B36" s="1">
        <v>172.03</v>
      </c>
      <c r="C36" s="1">
        <v>-46</v>
      </c>
      <c r="D36" t="s">
        <v>105</v>
      </c>
      <c r="E36" t="s">
        <v>106</v>
      </c>
    </row>
    <row r="37" spans="1:5" x14ac:dyDescent="0.2">
      <c r="A37" s="27" t="s">
        <v>107</v>
      </c>
      <c r="B37" s="1">
        <v>-178.5</v>
      </c>
      <c r="C37" s="1">
        <v>-42.53</v>
      </c>
      <c r="D37" t="s">
        <v>105</v>
      </c>
      <c r="E37" t="s">
        <v>106</v>
      </c>
    </row>
    <row r="38" spans="1:5" x14ac:dyDescent="0.2">
      <c r="A38" s="27" t="s">
        <v>108</v>
      </c>
      <c r="B38" s="1">
        <v>179.5</v>
      </c>
      <c r="C38" s="1">
        <v>-45.08</v>
      </c>
      <c r="D38" t="s">
        <v>105</v>
      </c>
      <c r="E38" t="s">
        <v>106</v>
      </c>
    </row>
    <row r="39" spans="1:5" x14ac:dyDescent="0.2">
      <c r="A39" s="27" t="s">
        <v>109</v>
      </c>
      <c r="B39" s="1">
        <v>-9.68</v>
      </c>
      <c r="C39" s="1">
        <v>42.15</v>
      </c>
      <c r="D39" t="s">
        <v>110</v>
      </c>
      <c r="E39" t="s">
        <v>111</v>
      </c>
    </row>
    <row r="40" spans="1:5" x14ac:dyDescent="0.2">
      <c r="A40" s="27" t="s">
        <v>112</v>
      </c>
      <c r="B40" s="1">
        <v>-9.68</v>
      </c>
      <c r="C40" s="1">
        <v>42.15</v>
      </c>
      <c r="D40" t="s">
        <v>110</v>
      </c>
      <c r="E40" t="s">
        <v>111</v>
      </c>
    </row>
    <row r="41" spans="1:5" x14ac:dyDescent="0.2">
      <c r="A41" s="27" t="s">
        <v>113</v>
      </c>
      <c r="B41" s="1">
        <v>49.93</v>
      </c>
      <c r="C41" s="1">
        <v>-43.97</v>
      </c>
      <c r="D41" t="s">
        <v>114</v>
      </c>
      <c r="E41" t="s">
        <v>115</v>
      </c>
    </row>
    <row r="42" spans="1:5" x14ac:dyDescent="0.2">
      <c r="A42" s="27" t="s">
        <v>116</v>
      </c>
      <c r="B42" s="1">
        <v>146.03</v>
      </c>
      <c r="C42" s="1">
        <v>-47.15</v>
      </c>
      <c r="D42" t="s">
        <v>117</v>
      </c>
      <c r="E42" t="s">
        <v>118</v>
      </c>
    </row>
    <row r="43" spans="1:5" x14ac:dyDescent="0.2">
      <c r="A43" s="27" t="s">
        <v>119</v>
      </c>
      <c r="B43" s="1">
        <v>144.4</v>
      </c>
      <c r="C43" s="1">
        <v>-42.6</v>
      </c>
      <c r="D43" t="s">
        <v>117</v>
      </c>
      <c r="E43" t="s">
        <v>118</v>
      </c>
    </row>
    <row r="44" spans="1:5" x14ac:dyDescent="0.2">
      <c r="A44" s="27" t="s">
        <v>120</v>
      </c>
      <c r="B44" s="1">
        <v>145.0042</v>
      </c>
      <c r="C44" s="1">
        <v>44.527500000000003</v>
      </c>
      <c r="D44" t="s">
        <v>121</v>
      </c>
      <c r="E44" t="s">
        <v>122</v>
      </c>
    </row>
    <row r="45" spans="1:5" x14ac:dyDescent="0.2">
      <c r="A45" s="27" t="s">
        <v>123</v>
      </c>
      <c r="B45" s="1">
        <v>-178.16650000000001</v>
      </c>
      <c r="C45" s="1">
        <v>-42.549930000000003</v>
      </c>
      <c r="D45" t="s">
        <v>124</v>
      </c>
      <c r="E45" t="s">
        <v>125</v>
      </c>
    </row>
    <row r="46" spans="1:5" x14ac:dyDescent="0.2">
      <c r="A46" s="27" t="s">
        <v>126</v>
      </c>
      <c r="B46" s="1">
        <v>-95.32</v>
      </c>
      <c r="C46" s="1">
        <v>0.2</v>
      </c>
      <c r="D46" t="s">
        <v>127</v>
      </c>
      <c r="E46" t="s">
        <v>128</v>
      </c>
    </row>
    <row r="47" spans="1:5" x14ac:dyDescent="0.2">
      <c r="A47" s="27" t="s">
        <v>129</v>
      </c>
      <c r="B47" s="1">
        <v>10.32</v>
      </c>
      <c r="C47" s="1">
        <v>-6.58</v>
      </c>
      <c r="D47" t="s">
        <v>130</v>
      </c>
      <c r="E47" t="s">
        <v>131</v>
      </c>
    </row>
    <row r="48" spans="1:5" x14ac:dyDescent="0.2">
      <c r="A48" s="27" t="s">
        <v>132</v>
      </c>
      <c r="B48" s="1">
        <v>11.68</v>
      </c>
      <c r="C48" s="1">
        <v>-11.77</v>
      </c>
      <c r="D48" t="s">
        <v>130</v>
      </c>
      <c r="E48" t="s">
        <v>131</v>
      </c>
    </row>
    <row r="49" spans="1:5" x14ac:dyDescent="0.2">
      <c r="A49" s="27" t="s">
        <v>133</v>
      </c>
      <c r="B49" s="1">
        <v>9.18</v>
      </c>
      <c r="C49" s="1">
        <v>-20.100000000000001</v>
      </c>
      <c r="D49" t="s">
        <v>130</v>
      </c>
      <c r="E49" t="s">
        <v>131</v>
      </c>
    </row>
    <row r="50" spans="1:5" x14ac:dyDescent="0.2">
      <c r="A50" s="27" t="s">
        <v>134</v>
      </c>
      <c r="B50" s="1">
        <v>-12.7</v>
      </c>
      <c r="C50" s="1">
        <v>-49.02</v>
      </c>
      <c r="D50" t="s">
        <v>135</v>
      </c>
      <c r="E50" t="s">
        <v>136</v>
      </c>
    </row>
    <row r="51" spans="1:5" x14ac:dyDescent="0.2">
      <c r="A51" s="27" t="s">
        <v>137</v>
      </c>
      <c r="B51" s="1">
        <v>117.419</v>
      </c>
      <c r="C51" s="1">
        <v>20.053000000000001</v>
      </c>
      <c r="D51" t="s">
        <v>138</v>
      </c>
      <c r="E51" t="s">
        <v>139</v>
      </c>
    </row>
    <row r="52" spans="1:5" x14ac:dyDescent="0.2">
      <c r="A52" s="27" t="s">
        <v>140</v>
      </c>
      <c r="B52" s="1">
        <v>145.22999999999999</v>
      </c>
      <c r="C52" s="1">
        <v>-46.43</v>
      </c>
      <c r="D52" t="s">
        <v>341</v>
      </c>
      <c r="E52" t="s">
        <v>339</v>
      </c>
    </row>
    <row r="53" spans="1:5" x14ac:dyDescent="0.2">
      <c r="A53" s="27" t="s">
        <v>141</v>
      </c>
      <c r="B53" s="1">
        <v>106.52</v>
      </c>
      <c r="C53" s="1">
        <v>-44.88</v>
      </c>
      <c r="D53" t="s">
        <v>142</v>
      </c>
      <c r="E53" t="s">
        <v>143</v>
      </c>
    </row>
    <row r="54" spans="1:5" x14ac:dyDescent="0.2">
      <c r="A54" s="27" t="s">
        <v>144</v>
      </c>
      <c r="B54" s="1">
        <v>90.25</v>
      </c>
      <c r="C54" s="1">
        <v>-48.28</v>
      </c>
      <c r="D54" t="s">
        <v>142</v>
      </c>
      <c r="E54" t="s">
        <v>143</v>
      </c>
    </row>
    <row r="55" spans="1:5" x14ac:dyDescent="0.2">
      <c r="A55" s="27" t="s">
        <v>145</v>
      </c>
      <c r="B55" s="1">
        <v>90.17</v>
      </c>
      <c r="C55" s="1">
        <v>-46.05</v>
      </c>
      <c r="D55" t="s">
        <v>142</v>
      </c>
      <c r="E55" t="s">
        <v>143</v>
      </c>
    </row>
    <row r="56" spans="1:5" x14ac:dyDescent="0.2">
      <c r="A56" s="27" t="s">
        <v>146</v>
      </c>
      <c r="B56" s="1">
        <v>94.88</v>
      </c>
      <c r="C56" s="1">
        <v>-42.18</v>
      </c>
      <c r="D56" t="s">
        <v>142</v>
      </c>
      <c r="E56" t="s">
        <v>143</v>
      </c>
    </row>
    <row r="57" spans="1:5" x14ac:dyDescent="0.2">
      <c r="A57" s="27" t="s">
        <v>147</v>
      </c>
      <c r="B57" s="1">
        <v>-123.12</v>
      </c>
      <c r="C57" s="1">
        <v>-53.67</v>
      </c>
      <c r="D57" t="s">
        <v>148</v>
      </c>
      <c r="E57" t="s">
        <v>149</v>
      </c>
    </row>
    <row r="58" spans="1:5" x14ac:dyDescent="0.2">
      <c r="A58" s="27" t="s">
        <v>150</v>
      </c>
      <c r="B58" s="1">
        <v>167.67449999999999</v>
      </c>
      <c r="C58" s="1">
        <v>-40.507832999999998</v>
      </c>
      <c r="D58" t="s">
        <v>151</v>
      </c>
      <c r="E58" t="s">
        <v>152</v>
      </c>
    </row>
    <row r="59" spans="1:5" x14ac:dyDescent="0.2">
      <c r="A59" s="27" t="s">
        <v>153</v>
      </c>
      <c r="B59" s="1">
        <v>167.58330000000001</v>
      </c>
      <c r="C59" s="1">
        <v>50.35</v>
      </c>
      <c r="D59" t="s">
        <v>154</v>
      </c>
      <c r="E59" t="s">
        <v>155</v>
      </c>
    </row>
    <row r="60" spans="1:5" x14ac:dyDescent="0.2">
      <c r="A60" s="27" t="s">
        <v>156</v>
      </c>
      <c r="B60" s="1">
        <v>51.47</v>
      </c>
      <c r="C60" s="1">
        <v>2.98</v>
      </c>
      <c r="D60" t="s">
        <v>157</v>
      </c>
      <c r="E60" t="s">
        <v>158</v>
      </c>
    </row>
    <row r="61" spans="1:5" x14ac:dyDescent="0.2">
      <c r="A61" s="27" t="s">
        <v>159</v>
      </c>
      <c r="B61" s="1">
        <v>172.3443</v>
      </c>
      <c r="C61" s="1">
        <v>5.5571999999999999</v>
      </c>
      <c r="D61" t="s">
        <v>160</v>
      </c>
      <c r="E61" t="s">
        <v>161</v>
      </c>
    </row>
    <row r="62" spans="1:5" x14ac:dyDescent="0.2">
      <c r="A62" s="27" t="s">
        <v>162</v>
      </c>
      <c r="B62" s="1">
        <v>141.77000000000001</v>
      </c>
      <c r="C62" s="1">
        <v>2.0299999999999998</v>
      </c>
      <c r="D62" t="s">
        <v>163</v>
      </c>
      <c r="E62" t="s">
        <v>164</v>
      </c>
    </row>
    <row r="63" spans="1:5" x14ac:dyDescent="0.2">
      <c r="A63" s="27" t="s">
        <v>165</v>
      </c>
      <c r="B63" s="1">
        <v>146.875</v>
      </c>
      <c r="C63" s="1">
        <v>-48.136699999999998</v>
      </c>
      <c r="D63" t="s">
        <v>166</v>
      </c>
      <c r="E63" t="s">
        <v>167</v>
      </c>
    </row>
    <row r="64" spans="1:5" x14ac:dyDescent="0.2">
      <c r="A64" s="27" t="s">
        <v>168</v>
      </c>
      <c r="B64" s="1">
        <v>32.725433000000002</v>
      </c>
      <c r="C64" s="1">
        <v>34.069600000000001</v>
      </c>
      <c r="D64" t="s">
        <v>102</v>
      </c>
      <c r="E64" t="s">
        <v>103</v>
      </c>
    </row>
    <row r="65" spans="1:5" x14ac:dyDescent="0.2">
      <c r="A65" s="27" t="s">
        <v>169</v>
      </c>
      <c r="B65" s="1">
        <v>142.69999999999999</v>
      </c>
      <c r="C65" s="1">
        <v>-3.1</v>
      </c>
      <c r="D65" t="s">
        <v>170</v>
      </c>
      <c r="E65" t="s">
        <v>171</v>
      </c>
    </row>
    <row r="66" spans="1:5" x14ac:dyDescent="0.2">
      <c r="A66" s="27" t="s">
        <v>172</v>
      </c>
      <c r="B66" s="1">
        <v>120.435</v>
      </c>
      <c r="C66" s="1">
        <v>-15.05533</v>
      </c>
      <c r="D66" t="s">
        <v>173</v>
      </c>
      <c r="E66" t="s">
        <v>174</v>
      </c>
    </row>
    <row r="67" spans="1:5" x14ac:dyDescent="0.2">
      <c r="A67" s="27" t="s">
        <v>175</v>
      </c>
      <c r="B67" s="1">
        <v>120.435</v>
      </c>
      <c r="C67" s="1">
        <v>-15.05533</v>
      </c>
      <c r="D67" t="s">
        <v>173</v>
      </c>
      <c r="E67" t="s">
        <v>174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6"/>
  <sheetViews>
    <sheetView topLeftCell="M1" zoomScale="61" workbookViewId="0">
      <selection activeCell="J15" sqref="J15"/>
    </sheetView>
  </sheetViews>
  <sheetFormatPr baseColWidth="10" defaultColWidth="11.5703125" defaultRowHeight="16" x14ac:dyDescent="0.2"/>
  <sheetData>
    <row r="1" spans="1:27" x14ac:dyDescent="0.2">
      <c r="A1" t="s">
        <v>0</v>
      </c>
      <c r="B1" t="s">
        <v>1</v>
      </c>
      <c r="C1" t="s">
        <v>2</v>
      </c>
      <c r="D1" t="s">
        <v>3</v>
      </c>
      <c r="E1" s="24" t="s">
        <v>4</v>
      </c>
      <c r="F1" s="24" t="s">
        <v>5</v>
      </c>
      <c r="G1" s="24" t="s">
        <v>6</v>
      </c>
      <c r="H1" s="24" t="s">
        <v>7</v>
      </c>
      <c r="I1" s="24" t="s">
        <v>8</v>
      </c>
      <c r="J1" s="24" t="s">
        <v>9</v>
      </c>
      <c r="K1" s="24"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E2" s="25" t="s">
        <v>176</v>
      </c>
      <c r="F2" s="26"/>
      <c r="G2" s="26"/>
      <c r="H2" s="26"/>
      <c r="I2" s="26"/>
      <c r="J2" s="26"/>
      <c r="K2" s="26"/>
      <c r="N2" s="22" t="s">
        <v>177</v>
      </c>
      <c r="O2" s="23"/>
      <c r="P2" s="23"/>
      <c r="Q2" s="23"/>
      <c r="R2" s="23"/>
      <c r="S2" s="23"/>
      <c r="T2" s="23"/>
      <c r="U2" s="23"/>
    </row>
    <row r="3" spans="1:27" x14ac:dyDescent="0.2">
      <c r="E3" s="24"/>
      <c r="F3" s="24"/>
      <c r="G3" s="24"/>
      <c r="H3" s="24"/>
      <c r="I3" s="24"/>
      <c r="J3" s="24"/>
      <c r="K3" s="24"/>
    </row>
    <row r="4" spans="1:27" x14ac:dyDescent="0.2">
      <c r="E4" s="24"/>
      <c r="F4" s="24"/>
      <c r="G4" s="24"/>
      <c r="H4" s="24"/>
      <c r="I4" s="24"/>
      <c r="J4" s="24"/>
      <c r="K4" s="24"/>
    </row>
    <row r="5" spans="1:27" x14ac:dyDescent="0.2">
      <c r="E5" s="24"/>
      <c r="F5" s="24"/>
      <c r="G5" s="24"/>
      <c r="H5" s="24"/>
      <c r="I5" s="24"/>
      <c r="J5" s="24"/>
      <c r="K5" s="24"/>
    </row>
    <row r="6" spans="1:27" x14ac:dyDescent="0.2">
      <c r="E6" s="24"/>
      <c r="F6" s="24"/>
      <c r="G6" s="24"/>
      <c r="H6" s="24"/>
      <c r="I6" s="24"/>
      <c r="J6" s="24"/>
      <c r="K6" s="24"/>
    </row>
  </sheetData>
  <mergeCells count="2">
    <mergeCell ref="E2:K2"/>
    <mergeCell ref="N2:U2"/>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0"/>
  <sheetViews>
    <sheetView topLeftCell="O1" zoomScale="66" zoomScaleNormal="66" workbookViewId="0">
      <selection activeCell="S19" sqref="S19"/>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ht="17" customHeight="1" x14ac:dyDescent="0.25">
      <c r="A2" s="3" t="s">
        <v>178</v>
      </c>
      <c r="B2" s="10">
        <v>116.566</v>
      </c>
      <c r="C2" s="10">
        <v>18.835999999999999</v>
      </c>
      <c r="D2" s="10" t="s">
        <v>179</v>
      </c>
      <c r="E2" s="1"/>
      <c r="F2" s="1"/>
      <c r="G2" s="1"/>
      <c r="H2" s="11"/>
      <c r="I2" s="11"/>
      <c r="J2" s="11"/>
      <c r="K2" s="11"/>
      <c r="L2" s="11"/>
      <c r="M2" s="12"/>
      <c r="N2" s="11">
        <v>1499</v>
      </c>
      <c r="O2">
        <v>0.60599999999999998</v>
      </c>
      <c r="P2" s="1" t="s">
        <v>180</v>
      </c>
      <c r="Q2" s="1"/>
      <c r="R2" s="13">
        <v>115040</v>
      </c>
      <c r="S2" s="1"/>
      <c r="T2" s="1" t="s">
        <v>180</v>
      </c>
      <c r="U2" s="1"/>
      <c r="V2" s="2" t="s">
        <v>35</v>
      </c>
      <c r="W2" s="7" t="s">
        <v>181</v>
      </c>
      <c r="Z2">
        <v>-3296</v>
      </c>
    </row>
    <row r="3" spans="1:27" ht="17" customHeight="1" x14ac:dyDescent="0.25">
      <c r="B3" s="1"/>
      <c r="C3" s="1"/>
      <c r="D3" s="1"/>
      <c r="E3" s="1"/>
      <c r="F3" s="1"/>
      <c r="G3" s="1"/>
      <c r="H3" s="11"/>
      <c r="I3" s="11"/>
      <c r="J3" s="11"/>
      <c r="K3" s="11"/>
      <c r="L3" s="11"/>
      <c r="M3" s="12"/>
      <c r="N3" s="11">
        <v>1551</v>
      </c>
      <c r="O3">
        <v>0.66900000000000004</v>
      </c>
      <c r="P3" s="1" t="s">
        <v>182</v>
      </c>
      <c r="Q3" s="1"/>
      <c r="R3" s="9">
        <v>119200</v>
      </c>
      <c r="S3" s="1"/>
      <c r="T3" s="1" t="s">
        <v>182</v>
      </c>
      <c r="U3" s="1"/>
    </row>
    <row r="4" spans="1:27" ht="17" customHeight="1" x14ac:dyDescent="0.25">
      <c r="B4" s="1"/>
      <c r="C4" s="1"/>
      <c r="D4" s="1"/>
      <c r="E4" s="1"/>
      <c r="F4" s="1"/>
      <c r="G4" s="1"/>
      <c r="H4" s="11"/>
      <c r="I4" s="11"/>
      <c r="J4" s="11"/>
      <c r="K4" s="11"/>
      <c r="L4" s="11"/>
      <c r="M4" s="12"/>
      <c r="N4" s="11">
        <v>1601</v>
      </c>
      <c r="O4">
        <v>0.64300000000000002</v>
      </c>
      <c r="P4" s="1" t="s">
        <v>183</v>
      </c>
      <c r="Q4" s="1"/>
      <c r="R4" s="9">
        <v>123200</v>
      </c>
      <c r="S4" s="1"/>
      <c r="T4" s="1" t="s">
        <v>183</v>
      </c>
      <c r="U4" s="1"/>
    </row>
    <row r="5" spans="1:27" ht="17" customHeight="1" x14ac:dyDescent="0.25">
      <c r="B5" s="1"/>
      <c r="C5" s="1"/>
      <c r="D5" s="1"/>
      <c r="E5" s="1"/>
      <c r="F5" s="1"/>
      <c r="G5" s="1"/>
      <c r="H5" s="11"/>
      <c r="I5" s="11"/>
      <c r="J5" s="11"/>
      <c r="K5" s="11"/>
      <c r="L5" s="11"/>
      <c r="M5" s="12"/>
      <c r="N5" s="11">
        <v>1651</v>
      </c>
      <c r="O5">
        <v>0.59399999999999997</v>
      </c>
      <c r="P5" s="1" t="s">
        <v>184</v>
      </c>
      <c r="Q5" s="1"/>
      <c r="R5" s="9">
        <v>128465</v>
      </c>
      <c r="S5" s="1"/>
      <c r="T5" s="1" t="s">
        <v>184</v>
      </c>
      <c r="U5" s="1"/>
    </row>
    <row r="6" spans="1:27" ht="17" customHeight="1" x14ac:dyDescent="0.25">
      <c r="B6" s="1"/>
      <c r="C6" s="1"/>
      <c r="D6" s="1"/>
      <c r="E6" s="11"/>
      <c r="F6" s="11"/>
      <c r="G6" s="11"/>
      <c r="H6" s="11"/>
      <c r="I6" s="11"/>
      <c r="J6" s="11"/>
      <c r="K6" s="11"/>
      <c r="L6" s="11"/>
      <c r="M6" s="12"/>
      <c r="N6" s="11">
        <v>1701</v>
      </c>
      <c r="O6">
        <v>0.56999999999999995</v>
      </c>
      <c r="P6" s="1" t="s">
        <v>185</v>
      </c>
      <c r="Q6" s="1"/>
      <c r="R6" s="9">
        <v>134047</v>
      </c>
      <c r="S6" s="1"/>
      <c r="T6" s="1" t="s">
        <v>185</v>
      </c>
      <c r="U6" s="1"/>
    </row>
    <row r="7" spans="1:27" ht="17" customHeight="1" x14ac:dyDescent="0.25">
      <c r="B7" s="1"/>
      <c r="C7" s="1"/>
      <c r="D7" s="1"/>
      <c r="E7" s="11"/>
      <c r="F7" s="11"/>
      <c r="G7" s="11"/>
      <c r="H7" s="11"/>
      <c r="I7" s="11"/>
      <c r="J7" s="11"/>
      <c r="K7" s="11"/>
      <c r="L7" s="11"/>
      <c r="M7" s="12"/>
      <c r="N7" s="11">
        <v>1751</v>
      </c>
      <c r="O7">
        <v>0.57099999999999995</v>
      </c>
      <c r="P7" s="1" t="s">
        <v>185</v>
      </c>
      <c r="Q7" s="1"/>
      <c r="R7" s="9">
        <v>139628</v>
      </c>
      <c r="S7" s="1"/>
      <c r="T7" s="1" t="s">
        <v>185</v>
      </c>
      <c r="U7" s="1"/>
    </row>
    <row r="8" spans="1:27" x14ac:dyDescent="0.2">
      <c r="B8" s="1"/>
      <c r="C8" s="1"/>
      <c r="D8" s="1"/>
      <c r="E8" s="11"/>
      <c r="F8" s="11"/>
      <c r="G8" s="11"/>
      <c r="H8" s="11"/>
      <c r="I8" s="11"/>
      <c r="J8" s="11"/>
      <c r="K8" s="11"/>
      <c r="L8" s="11"/>
      <c r="M8" s="11"/>
      <c r="N8" s="11"/>
      <c r="O8" s="11"/>
      <c r="P8" s="11"/>
      <c r="Q8" s="1"/>
      <c r="R8" s="1"/>
      <c r="S8" s="1"/>
      <c r="T8" s="1"/>
      <c r="U8" s="1"/>
    </row>
    <row r="9" spans="1:27" x14ac:dyDescent="0.2">
      <c r="B9" s="1"/>
      <c r="C9" s="1"/>
      <c r="D9" s="1"/>
      <c r="E9" s="11"/>
      <c r="F9" s="11"/>
      <c r="G9" s="11"/>
      <c r="H9" s="11"/>
      <c r="I9" s="11"/>
      <c r="J9" s="11"/>
      <c r="K9" s="11"/>
      <c r="L9" s="11"/>
      <c r="M9" s="11"/>
      <c r="N9" s="11"/>
      <c r="O9" s="11"/>
      <c r="P9" s="11"/>
      <c r="Q9" s="1"/>
      <c r="R9" s="1"/>
      <c r="S9" s="1"/>
      <c r="T9" s="1"/>
      <c r="U9" s="1"/>
    </row>
    <row r="10" spans="1:27" x14ac:dyDescent="0.2">
      <c r="B10" s="1"/>
      <c r="C10" s="1"/>
      <c r="D10" s="1"/>
      <c r="E10" s="11"/>
      <c r="F10" s="11"/>
      <c r="G10" s="11"/>
      <c r="H10" s="11"/>
      <c r="I10" s="11"/>
      <c r="J10" s="11"/>
      <c r="K10" s="11"/>
      <c r="L10" s="11"/>
      <c r="M10" s="11"/>
      <c r="N10" s="11"/>
      <c r="O10" s="11"/>
      <c r="P10" s="11"/>
      <c r="Q10" s="1"/>
      <c r="R10" s="1"/>
      <c r="S10" s="1"/>
      <c r="T10" s="1"/>
      <c r="U10" s="1"/>
    </row>
    <row r="11" spans="1:27" x14ac:dyDescent="0.2">
      <c r="B11" s="1"/>
      <c r="C11" s="1"/>
      <c r="D11" s="1"/>
      <c r="E11" s="11"/>
      <c r="F11" s="11"/>
      <c r="G11" s="11"/>
      <c r="H11" s="11"/>
      <c r="I11" s="11"/>
      <c r="J11" s="11"/>
      <c r="K11" s="11"/>
      <c r="L11" s="11"/>
      <c r="M11" s="11"/>
      <c r="N11" s="11"/>
      <c r="O11" s="11"/>
      <c r="P11" s="11"/>
      <c r="Q11" s="1"/>
      <c r="R11" s="1"/>
      <c r="S11" s="1"/>
      <c r="T11" s="1"/>
      <c r="U11" s="1"/>
    </row>
    <row r="12" spans="1:27" x14ac:dyDescent="0.2">
      <c r="B12" s="1"/>
      <c r="C12" s="1"/>
      <c r="D12" s="1"/>
      <c r="E12" s="11"/>
      <c r="F12" s="11"/>
      <c r="G12" s="11"/>
      <c r="H12" s="11"/>
      <c r="I12" s="11"/>
      <c r="J12" s="11"/>
      <c r="K12" s="11"/>
      <c r="L12" s="11"/>
      <c r="M12" s="11"/>
      <c r="N12" s="11"/>
      <c r="O12" s="11"/>
      <c r="P12" s="11"/>
      <c r="Q12" s="1"/>
      <c r="R12" s="1"/>
      <c r="S12" s="1"/>
      <c r="T12" s="1"/>
      <c r="U12" s="1"/>
    </row>
    <row r="13" spans="1:27" x14ac:dyDescent="0.2">
      <c r="B13" s="1"/>
      <c r="C13" s="1"/>
      <c r="D13" s="1"/>
      <c r="E13" s="11"/>
      <c r="F13" s="11"/>
      <c r="G13" s="11"/>
      <c r="H13" s="11"/>
      <c r="I13" s="11"/>
      <c r="J13" s="11"/>
      <c r="K13" s="11"/>
      <c r="L13" s="11"/>
      <c r="M13" s="11"/>
      <c r="N13" s="11"/>
      <c r="O13" s="11"/>
      <c r="P13" s="11"/>
      <c r="Q13" s="1"/>
      <c r="R13" s="1"/>
      <c r="S13" s="1"/>
      <c r="T13" s="1"/>
      <c r="U13" s="1"/>
    </row>
    <row r="14" spans="1:27" x14ac:dyDescent="0.2">
      <c r="B14" s="1"/>
      <c r="C14" s="1"/>
      <c r="D14" s="1"/>
      <c r="E14" s="11"/>
      <c r="F14" s="11"/>
      <c r="G14" s="11"/>
      <c r="H14" s="11"/>
      <c r="I14" s="11"/>
      <c r="J14" s="11"/>
      <c r="K14" s="11"/>
      <c r="L14" s="11"/>
      <c r="M14" s="11"/>
      <c r="N14" s="11"/>
      <c r="O14" s="11"/>
      <c r="P14" s="11"/>
      <c r="Q14" s="1"/>
      <c r="R14" s="1"/>
      <c r="S14" s="1"/>
      <c r="T14" s="1"/>
      <c r="U14" s="1"/>
    </row>
    <row r="15" spans="1:27" x14ac:dyDescent="0.2">
      <c r="B15" s="1"/>
      <c r="C15" s="1"/>
      <c r="D15" s="1"/>
      <c r="E15" s="11"/>
      <c r="F15" s="11"/>
      <c r="G15" s="11"/>
      <c r="H15" s="11"/>
      <c r="I15" s="11"/>
      <c r="J15" s="11"/>
      <c r="K15" s="11"/>
      <c r="L15" s="11"/>
      <c r="M15" s="11"/>
      <c r="N15" s="11"/>
      <c r="O15" s="11"/>
      <c r="P15" s="11"/>
      <c r="Q15" s="1"/>
      <c r="R15" s="1"/>
      <c r="S15" s="1"/>
      <c r="T15" s="1"/>
      <c r="U15" s="1"/>
    </row>
    <row r="16" spans="1:27" x14ac:dyDescent="0.2">
      <c r="B16" s="1"/>
      <c r="C16" s="1"/>
      <c r="D16" s="1"/>
      <c r="E16" s="11"/>
      <c r="F16" s="11"/>
      <c r="G16" s="11"/>
      <c r="H16" s="11"/>
      <c r="I16" s="11"/>
      <c r="J16" s="11"/>
      <c r="K16" s="11"/>
      <c r="L16" s="11"/>
      <c r="M16" s="11"/>
      <c r="N16" s="11"/>
      <c r="O16" s="11"/>
      <c r="P16" s="11"/>
      <c r="Q16" s="1"/>
      <c r="R16" s="1"/>
      <c r="S16" s="1"/>
      <c r="T16" s="1"/>
      <c r="U16" s="1"/>
    </row>
    <row r="17" spans="2:21" x14ac:dyDescent="0.2">
      <c r="B17" s="1"/>
      <c r="C17" s="1"/>
      <c r="D17" s="1"/>
      <c r="E17" s="11"/>
      <c r="F17" s="11"/>
      <c r="G17" s="11"/>
      <c r="H17" s="11"/>
      <c r="I17" s="11"/>
      <c r="J17" s="11"/>
      <c r="K17" s="11"/>
      <c r="L17" s="11"/>
      <c r="M17" s="11"/>
      <c r="N17" s="11"/>
      <c r="O17" s="11"/>
      <c r="P17" s="11"/>
      <c r="Q17" s="1"/>
      <c r="R17" s="1"/>
      <c r="S17" s="1"/>
      <c r="T17" s="1"/>
      <c r="U17" s="1"/>
    </row>
    <row r="18" spans="2:21" x14ac:dyDescent="0.2">
      <c r="B18" s="1"/>
      <c r="C18" s="1"/>
      <c r="D18" s="1"/>
      <c r="E18" s="11"/>
      <c r="F18" s="11"/>
      <c r="G18" s="11"/>
      <c r="H18" s="11"/>
      <c r="I18" s="11"/>
      <c r="J18" s="11"/>
      <c r="K18" s="11"/>
      <c r="L18" s="11"/>
      <c r="M18" s="11"/>
      <c r="N18" s="11"/>
      <c r="O18" s="11"/>
      <c r="P18" s="11"/>
      <c r="Q18" s="1"/>
      <c r="R18" s="1"/>
      <c r="S18" s="1"/>
      <c r="T18" s="1"/>
      <c r="U18" s="1"/>
    </row>
    <row r="19" spans="2:21" x14ac:dyDescent="0.2">
      <c r="B19" s="1"/>
      <c r="C19" s="1"/>
      <c r="D19" s="1"/>
      <c r="E19" s="11"/>
      <c r="F19" s="11"/>
      <c r="G19" s="11"/>
      <c r="H19" s="11"/>
      <c r="I19" s="11"/>
      <c r="J19" s="11"/>
      <c r="K19" s="11"/>
      <c r="L19" s="11"/>
      <c r="M19" s="11"/>
      <c r="N19" s="11"/>
      <c r="O19" s="11"/>
      <c r="P19" s="11"/>
      <c r="Q19" s="1"/>
      <c r="R19" s="1"/>
      <c r="S19" s="1"/>
      <c r="T19" s="1"/>
      <c r="U19" s="1"/>
    </row>
    <row r="20" spans="2:21" x14ac:dyDescent="0.2">
      <c r="B20" s="1"/>
      <c r="C20" s="1"/>
      <c r="D20" s="1"/>
      <c r="E20" s="11"/>
      <c r="F20" s="11"/>
      <c r="G20" s="11"/>
      <c r="H20" s="11"/>
      <c r="I20" s="11"/>
      <c r="J20" s="11"/>
      <c r="K20" s="11"/>
      <c r="L20" s="11"/>
      <c r="M20" s="11"/>
      <c r="N20" s="11"/>
      <c r="O20" s="11"/>
      <c r="P20" s="11"/>
      <c r="Q20" s="1"/>
      <c r="R20" s="1"/>
      <c r="S20" s="1"/>
      <c r="T20" s="1"/>
      <c r="U20" s="1"/>
    </row>
    <row r="21" spans="2:21" x14ac:dyDescent="0.2">
      <c r="B21" s="1"/>
      <c r="C21" s="1"/>
      <c r="D21" s="1"/>
      <c r="E21" s="11"/>
      <c r="F21" s="11"/>
      <c r="G21" s="11"/>
      <c r="H21" s="11"/>
      <c r="I21" s="11"/>
      <c r="J21" s="11"/>
      <c r="K21" s="11"/>
      <c r="L21" s="11"/>
      <c r="M21" s="11"/>
      <c r="N21" s="11"/>
      <c r="O21" s="11"/>
      <c r="P21" s="11"/>
      <c r="Q21" s="1"/>
      <c r="R21" s="1"/>
      <c r="S21" s="1"/>
      <c r="T21" s="1"/>
      <c r="U21" s="1"/>
    </row>
    <row r="22" spans="2:21" x14ac:dyDescent="0.2">
      <c r="B22" s="1"/>
      <c r="C22" s="1"/>
      <c r="D22" s="1"/>
      <c r="E22" s="11"/>
      <c r="F22" s="11"/>
      <c r="G22" s="11"/>
      <c r="H22" s="11"/>
      <c r="I22" s="11"/>
      <c r="J22" s="11"/>
      <c r="K22" s="11"/>
      <c r="L22" s="11"/>
      <c r="M22" s="11"/>
      <c r="N22" s="11"/>
      <c r="O22" s="11"/>
      <c r="P22" s="11"/>
      <c r="Q22" s="1"/>
      <c r="R22" s="1"/>
      <c r="S22" s="1"/>
      <c r="T22" s="1"/>
      <c r="U22" s="1"/>
    </row>
    <row r="23" spans="2:21" x14ac:dyDescent="0.2">
      <c r="B23" s="1"/>
      <c r="C23" s="1"/>
      <c r="D23" s="1"/>
      <c r="E23" s="11"/>
      <c r="F23" s="11"/>
      <c r="G23" s="11"/>
      <c r="H23" s="11"/>
      <c r="I23" s="11"/>
      <c r="J23" s="11"/>
      <c r="K23" s="11"/>
      <c r="L23" s="11"/>
      <c r="M23" s="11"/>
      <c r="N23" s="11"/>
      <c r="O23" s="11"/>
      <c r="P23" s="11"/>
      <c r="Q23" s="1"/>
      <c r="R23" s="1"/>
      <c r="S23" s="1"/>
      <c r="T23" s="1"/>
      <c r="U23" s="1"/>
    </row>
    <row r="24" spans="2:21" x14ac:dyDescent="0.2">
      <c r="B24" s="1"/>
      <c r="C24" s="1"/>
      <c r="D24" s="1"/>
      <c r="E24" s="11"/>
      <c r="F24" s="11"/>
      <c r="G24" s="11"/>
      <c r="H24" s="11"/>
      <c r="I24" s="11"/>
      <c r="J24" s="11"/>
      <c r="K24" s="11"/>
      <c r="L24" s="11"/>
      <c r="M24" s="11"/>
      <c r="N24" s="11"/>
      <c r="O24" s="11"/>
      <c r="P24" s="11"/>
      <c r="Q24" s="1"/>
      <c r="R24" s="1"/>
      <c r="S24" s="1"/>
      <c r="T24" s="1"/>
      <c r="U24" s="1"/>
    </row>
    <row r="25" spans="2:21" x14ac:dyDescent="0.2">
      <c r="B25" s="1"/>
      <c r="C25" s="1"/>
      <c r="D25" s="1"/>
      <c r="E25" s="11"/>
      <c r="F25" s="11"/>
      <c r="G25" s="11"/>
      <c r="H25" s="11"/>
      <c r="I25" s="11"/>
      <c r="J25" s="11"/>
      <c r="K25" s="11"/>
      <c r="L25" s="11"/>
      <c r="M25" s="11"/>
      <c r="N25" s="11"/>
      <c r="O25" s="11"/>
      <c r="P25" s="11"/>
      <c r="Q25" s="1"/>
      <c r="R25" s="1"/>
      <c r="S25" s="1"/>
      <c r="T25" s="1"/>
      <c r="U25" s="1"/>
    </row>
    <row r="26" spans="2:21" x14ac:dyDescent="0.2">
      <c r="B26" s="1"/>
      <c r="C26" s="1"/>
      <c r="D26" s="1"/>
      <c r="E26" s="11"/>
      <c r="F26" s="11"/>
      <c r="G26" s="11"/>
      <c r="H26" s="11"/>
      <c r="I26" s="11"/>
      <c r="J26" s="11"/>
      <c r="K26" s="11"/>
      <c r="L26" s="11"/>
      <c r="M26" s="11"/>
      <c r="N26" s="11"/>
      <c r="O26" s="11"/>
      <c r="P26" s="11"/>
      <c r="Q26" s="1"/>
      <c r="R26" s="1"/>
      <c r="S26" s="1"/>
      <c r="T26" s="1"/>
      <c r="U26" s="1"/>
    </row>
    <row r="27" spans="2:21" x14ac:dyDescent="0.2">
      <c r="B27" s="1"/>
      <c r="C27" s="1"/>
      <c r="D27" s="1"/>
      <c r="E27" s="11"/>
      <c r="F27" s="11"/>
      <c r="G27" s="11"/>
      <c r="H27" s="11"/>
      <c r="I27" s="11"/>
      <c r="J27" s="11"/>
      <c r="K27" s="11"/>
      <c r="L27" s="11"/>
      <c r="M27" s="11"/>
      <c r="N27" s="11"/>
      <c r="O27" s="11"/>
      <c r="P27" s="11"/>
      <c r="Q27" s="1"/>
      <c r="R27" s="1"/>
      <c r="S27" s="1"/>
      <c r="T27" s="1"/>
      <c r="U27" s="1"/>
    </row>
    <row r="28" spans="2:21" x14ac:dyDescent="0.2">
      <c r="B28" s="1"/>
      <c r="C28" s="1"/>
      <c r="D28" s="1"/>
      <c r="E28" s="11"/>
      <c r="F28" s="11"/>
      <c r="G28" s="11"/>
      <c r="H28" s="11"/>
      <c r="I28" s="11"/>
      <c r="J28" s="11"/>
      <c r="K28" s="11"/>
      <c r="L28" s="11"/>
      <c r="M28" s="11"/>
      <c r="N28" s="11"/>
      <c r="O28" s="11"/>
      <c r="P28" s="11"/>
      <c r="Q28" s="1"/>
      <c r="R28" s="1"/>
      <c r="S28" s="1"/>
      <c r="T28" s="1"/>
      <c r="U28" s="1"/>
    </row>
    <row r="29" spans="2:21" x14ac:dyDescent="0.2">
      <c r="B29" s="1"/>
      <c r="C29" s="1"/>
      <c r="D29" s="1"/>
      <c r="E29" s="11"/>
      <c r="F29" s="11"/>
      <c r="G29" s="11"/>
      <c r="H29" s="11"/>
      <c r="I29" s="11"/>
      <c r="J29" s="11"/>
      <c r="K29" s="11"/>
      <c r="L29" s="11"/>
      <c r="M29" s="11"/>
      <c r="N29" s="11"/>
      <c r="O29" s="11"/>
      <c r="P29" s="11"/>
      <c r="Q29" s="1"/>
      <c r="R29" s="1"/>
      <c r="S29" s="1"/>
      <c r="T29" s="1"/>
      <c r="U29" s="1"/>
    </row>
    <row r="30" spans="2:21" x14ac:dyDescent="0.2">
      <c r="B30" s="1"/>
      <c r="C30" s="1"/>
      <c r="D30" s="1"/>
      <c r="E30" s="11"/>
      <c r="F30" s="11"/>
      <c r="G30" s="11"/>
      <c r="H30" s="11"/>
      <c r="I30" s="11"/>
      <c r="J30" s="11"/>
      <c r="K30" s="11"/>
      <c r="L30" s="11"/>
      <c r="M30" s="11"/>
      <c r="N30" s="11"/>
      <c r="O30" s="11"/>
      <c r="P30" s="11"/>
      <c r="Q30" s="1"/>
      <c r="R30" s="1"/>
      <c r="S30" s="1"/>
      <c r="T30" s="1"/>
      <c r="U30" s="1"/>
    </row>
    <row r="31" spans="2:21" x14ac:dyDescent="0.2">
      <c r="B31" s="1"/>
      <c r="C31" s="1"/>
      <c r="D31" s="1"/>
      <c r="E31" s="11"/>
      <c r="F31" s="11"/>
      <c r="G31" s="11"/>
      <c r="H31" s="11"/>
      <c r="I31" s="11"/>
      <c r="J31" s="11"/>
      <c r="K31" s="11"/>
      <c r="L31" s="11"/>
      <c r="M31" s="11"/>
      <c r="N31" s="11"/>
      <c r="O31" s="11"/>
      <c r="P31" s="11"/>
      <c r="Q31" s="1"/>
      <c r="R31" s="1"/>
      <c r="S31" s="1"/>
      <c r="T31" s="1"/>
      <c r="U31" s="1"/>
    </row>
    <row r="32" spans="2:21" x14ac:dyDescent="0.2">
      <c r="B32" s="1"/>
      <c r="C32" s="1"/>
      <c r="D32" s="1"/>
      <c r="E32" s="11"/>
      <c r="F32" s="11"/>
      <c r="G32" s="11"/>
      <c r="H32" s="11"/>
      <c r="I32" s="11"/>
      <c r="J32" s="11"/>
      <c r="K32" s="11"/>
      <c r="L32" s="11"/>
      <c r="M32" s="11"/>
      <c r="N32" s="11"/>
      <c r="O32" s="11"/>
      <c r="P32" s="11"/>
      <c r="Q32" s="1"/>
      <c r="R32" s="1"/>
      <c r="S32" s="1"/>
      <c r="T32" s="1"/>
      <c r="U32" s="1"/>
    </row>
    <row r="33" spans="2:21" x14ac:dyDescent="0.2">
      <c r="B33" s="1"/>
      <c r="C33" s="1"/>
      <c r="D33" s="1"/>
      <c r="E33" s="11"/>
      <c r="F33" s="11"/>
      <c r="G33" s="11"/>
      <c r="H33" s="11"/>
      <c r="I33" s="11"/>
      <c r="J33" s="11"/>
      <c r="K33" s="11"/>
      <c r="L33" s="11"/>
      <c r="M33" s="11"/>
      <c r="N33" s="11"/>
      <c r="O33" s="11"/>
      <c r="P33" s="11"/>
      <c r="Q33" s="1"/>
      <c r="R33" s="1"/>
      <c r="S33" s="1"/>
      <c r="T33" s="1"/>
      <c r="U33" s="1"/>
    </row>
    <row r="34" spans="2:21" x14ac:dyDescent="0.2">
      <c r="B34" s="1"/>
      <c r="C34" s="1"/>
      <c r="D34" s="1"/>
      <c r="E34" s="11"/>
      <c r="F34" s="11"/>
      <c r="G34" s="11"/>
      <c r="H34" s="11"/>
      <c r="I34" s="11"/>
      <c r="J34" s="11"/>
      <c r="K34" s="11"/>
      <c r="L34" s="11"/>
      <c r="M34" s="11"/>
      <c r="N34" s="11"/>
      <c r="O34" s="11"/>
      <c r="P34" s="11"/>
      <c r="Q34" s="1"/>
      <c r="R34" s="1"/>
      <c r="S34" s="1"/>
      <c r="T34" s="1"/>
      <c r="U34" s="1"/>
    </row>
    <row r="35" spans="2:21" x14ac:dyDescent="0.2">
      <c r="B35" s="1"/>
      <c r="C35" s="1"/>
      <c r="D35" s="1"/>
      <c r="E35" s="11"/>
      <c r="F35" s="11"/>
      <c r="G35" s="11"/>
      <c r="H35" s="11"/>
      <c r="I35" s="11"/>
      <c r="J35" s="11"/>
      <c r="K35" s="11"/>
      <c r="L35" s="11"/>
      <c r="M35" s="11"/>
      <c r="N35" s="11"/>
      <c r="O35" s="11"/>
      <c r="P35" s="11"/>
      <c r="Q35" s="1"/>
      <c r="R35" s="1"/>
      <c r="S35" s="1"/>
      <c r="T35" s="1"/>
      <c r="U35" s="1"/>
    </row>
    <row r="36" spans="2:21" x14ac:dyDescent="0.2">
      <c r="B36" s="1"/>
      <c r="C36" s="1"/>
      <c r="D36" s="1"/>
      <c r="E36" s="11"/>
      <c r="F36" s="11"/>
      <c r="G36" s="11"/>
      <c r="H36" s="11"/>
      <c r="I36" s="11"/>
      <c r="J36" s="11"/>
      <c r="K36" s="11"/>
      <c r="L36" s="11"/>
      <c r="M36" s="11"/>
      <c r="N36" s="11"/>
      <c r="O36" s="11"/>
      <c r="P36" s="11"/>
      <c r="Q36" s="1"/>
      <c r="R36" s="1"/>
      <c r="S36" s="1"/>
      <c r="T36" s="1"/>
      <c r="U36" s="1"/>
    </row>
    <row r="37" spans="2:21" x14ac:dyDescent="0.2">
      <c r="B37" s="1"/>
      <c r="C37" s="1"/>
      <c r="D37" s="1"/>
      <c r="E37" s="11"/>
      <c r="F37" s="11"/>
      <c r="G37" s="11"/>
      <c r="H37" s="11"/>
      <c r="I37" s="11"/>
      <c r="J37" s="11"/>
      <c r="K37" s="11"/>
      <c r="L37" s="11"/>
      <c r="M37" s="11"/>
      <c r="N37" s="11"/>
      <c r="O37" s="11"/>
      <c r="P37" s="11"/>
      <c r="Q37" s="1"/>
      <c r="R37" s="1"/>
      <c r="S37" s="1"/>
      <c r="T37" s="1"/>
      <c r="U37" s="1"/>
    </row>
    <row r="38" spans="2:21" x14ac:dyDescent="0.2">
      <c r="B38" s="1"/>
      <c r="C38" s="1"/>
      <c r="D38" s="1"/>
      <c r="E38" s="11"/>
      <c r="F38" s="11"/>
      <c r="G38" s="11"/>
      <c r="H38" s="11"/>
      <c r="I38" s="11"/>
      <c r="J38" s="11"/>
      <c r="K38" s="11"/>
      <c r="L38" s="11"/>
      <c r="M38" s="11"/>
      <c r="N38" s="11"/>
      <c r="O38" s="11"/>
      <c r="P38" s="11"/>
      <c r="Q38" s="1"/>
      <c r="R38" s="1"/>
      <c r="S38" s="1"/>
      <c r="T38" s="1"/>
      <c r="U38" s="1"/>
    </row>
    <row r="39" spans="2:21" x14ac:dyDescent="0.2">
      <c r="B39" s="1"/>
      <c r="C39" s="1"/>
      <c r="D39" s="1"/>
      <c r="E39" s="11"/>
      <c r="F39" s="11"/>
      <c r="G39" s="11"/>
      <c r="H39" s="11"/>
      <c r="I39" s="11"/>
      <c r="J39" s="11"/>
      <c r="K39" s="11"/>
      <c r="L39" s="11"/>
      <c r="M39" s="11"/>
      <c r="N39" s="11"/>
      <c r="O39" s="11"/>
      <c r="P39" s="11"/>
      <c r="Q39" s="1"/>
      <c r="R39" s="1"/>
      <c r="S39" s="1"/>
      <c r="T39" s="1"/>
      <c r="U39" s="1"/>
    </row>
    <row r="40" spans="2:21" x14ac:dyDescent="0.2">
      <c r="B40" s="1"/>
      <c r="C40" s="1"/>
      <c r="D40" s="1"/>
      <c r="E40" s="11"/>
      <c r="F40" s="11"/>
      <c r="G40" s="11"/>
      <c r="H40" s="11"/>
      <c r="I40" s="11"/>
      <c r="J40" s="11"/>
      <c r="K40" s="11"/>
      <c r="L40" s="11"/>
      <c r="M40" s="11"/>
      <c r="N40" s="11"/>
      <c r="O40" s="11"/>
      <c r="P40" s="11"/>
      <c r="Q40" s="1"/>
      <c r="R40" s="1"/>
      <c r="S40" s="1"/>
      <c r="T40" s="1"/>
      <c r="U40" s="1"/>
    </row>
    <row r="41" spans="2:21" x14ac:dyDescent="0.2">
      <c r="B41" s="1"/>
      <c r="C41" s="1"/>
      <c r="D41" s="1"/>
      <c r="E41" s="11"/>
      <c r="F41" s="11"/>
      <c r="G41" s="11"/>
      <c r="H41" s="11"/>
      <c r="I41" s="11"/>
      <c r="J41" s="11"/>
      <c r="K41" s="11"/>
      <c r="L41" s="11"/>
      <c r="M41" s="11"/>
      <c r="N41" s="11"/>
      <c r="O41" s="11"/>
      <c r="P41" s="11"/>
      <c r="Q41" s="1"/>
      <c r="R41" s="1"/>
      <c r="S41" s="1"/>
      <c r="T41" s="1"/>
      <c r="U41" s="1"/>
    </row>
    <row r="42" spans="2:21" x14ac:dyDescent="0.2">
      <c r="B42" s="1"/>
      <c r="C42" s="1"/>
      <c r="D42" s="1"/>
      <c r="E42" s="11"/>
      <c r="F42" s="11"/>
      <c r="G42" s="11"/>
      <c r="H42" s="11"/>
      <c r="I42" s="11"/>
      <c r="J42" s="11"/>
      <c r="K42" s="11"/>
      <c r="L42" s="11"/>
      <c r="M42" s="11"/>
      <c r="N42" s="11"/>
      <c r="O42" s="11"/>
      <c r="P42" s="11"/>
      <c r="Q42" s="1"/>
      <c r="R42" s="1"/>
      <c r="S42" s="1"/>
      <c r="T42" s="1"/>
      <c r="U42" s="1"/>
    </row>
    <row r="43" spans="2:21" x14ac:dyDescent="0.2">
      <c r="B43" s="1"/>
      <c r="C43" s="1"/>
      <c r="D43" s="1"/>
      <c r="E43" s="11"/>
      <c r="F43" s="11"/>
      <c r="G43" s="11"/>
      <c r="H43" s="11"/>
      <c r="I43" s="11"/>
      <c r="J43" s="11"/>
      <c r="K43" s="11"/>
      <c r="L43" s="11"/>
      <c r="M43" s="11"/>
      <c r="N43" s="11"/>
      <c r="O43" s="11"/>
      <c r="P43" s="11"/>
      <c r="Q43" s="1"/>
      <c r="R43" s="1"/>
      <c r="S43" s="1"/>
      <c r="T43" s="1"/>
      <c r="U43" s="1"/>
    </row>
    <row r="44" spans="2:21" x14ac:dyDescent="0.2">
      <c r="B44" s="1"/>
      <c r="C44" s="1"/>
      <c r="D44" s="1"/>
      <c r="E44" s="11"/>
      <c r="F44" s="11"/>
      <c r="G44" s="11"/>
      <c r="H44" s="11"/>
      <c r="I44" s="11"/>
      <c r="J44" s="11"/>
      <c r="K44" s="11"/>
      <c r="L44" s="11"/>
      <c r="M44" s="11"/>
      <c r="N44" s="11"/>
      <c r="O44" s="11"/>
      <c r="P44" s="11"/>
      <c r="Q44" s="1"/>
      <c r="R44" s="1"/>
      <c r="S44" s="1"/>
      <c r="T44" s="1"/>
      <c r="U44" s="1"/>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200-000000000000}"/>
  </hyperlinks>
  <pageMargins left="0.75" right="0.75" top="1" bottom="1" header="0.5" footer="0.5"/>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200"/>
  <sheetViews>
    <sheetView topLeftCell="T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8" ht="17" customHeight="1" x14ac:dyDescent="0.25">
      <c r="A2" s="3" t="s">
        <v>178</v>
      </c>
      <c r="B2" s="6">
        <v>116.566</v>
      </c>
      <c r="C2" s="6">
        <v>18.835999999999999</v>
      </c>
      <c r="D2" s="4" t="s">
        <v>28</v>
      </c>
      <c r="E2" s="2"/>
      <c r="F2" s="2"/>
      <c r="G2" s="2"/>
      <c r="M2" s="8"/>
      <c r="N2" s="5">
        <v>1499</v>
      </c>
      <c r="O2" s="5" t="s">
        <v>186</v>
      </c>
      <c r="P2" s="2" t="s">
        <v>187</v>
      </c>
      <c r="R2" s="13">
        <v>115040</v>
      </c>
      <c r="T2" s="2" t="s">
        <v>187</v>
      </c>
      <c r="V2" s="2" t="s">
        <v>35</v>
      </c>
      <c r="W2" s="7" t="s">
        <v>181</v>
      </c>
      <c r="Y2" s="2" t="s">
        <v>188</v>
      </c>
      <c r="AB2">
        <v>-3296</v>
      </c>
    </row>
    <row r="3" spans="1:28" ht="17" customHeight="1" x14ac:dyDescent="0.25">
      <c r="E3" s="2"/>
      <c r="F3" s="2"/>
      <c r="G3" s="2"/>
      <c r="M3" s="8"/>
      <c r="N3" s="5">
        <v>1551</v>
      </c>
      <c r="O3" s="5" t="s">
        <v>189</v>
      </c>
      <c r="P3" s="2" t="s">
        <v>190</v>
      </c>
      <c r="R3" s="9">
        <v>119200</v>
      </c>
      <c r="T3" s="2" t="s">
        <v>190</v>
      </c>
    </row>
    <row r="4" spans="1:28" ht="17" customHeight="1" x14ac:dyDescent="0.25">
      <c r="E4" s="2"/>
      <c r="F4" s="2"/>
      <c r="G4" s="2"/>
      <c r="M4" s="8"/>
      <c r="N4" s="5">
        <v>1601</v>
      </c>
      <c r="O4" s="5" t="s">
        <v>191</v>
      </c>
      <c r="P4" s="2" t="s">
        <v>192</v>
      </c>
      <c r="R4" s="9">
        <v>123200</v>
      </c>
      <c r="T4" s="2" t="s">
        <v>192</v>
      </c>
    </row>
    <row r="5" spans="1:28" ht="17" customHeight="1" x14ac:dyDescent="0.25">
      <c r="E5" s="2"/>
      <c r="F5" s="2"/>
      <c r="G5" s="2"/>
      <c r="M5" s="8"/>
      <c r="N5" s="5">
        <v>1651</v>
      </c>
      <c r="O5" s="5" t="s">
        <v>193</v>
      </c>
      <c r="P5" s="2" t="s">
        <v>194</v>
      </c>
      <c r="R5" s="9">
        <v>128465</v>
      </c>
      <c r="T5" s="2" t="s">
        <v>194</v>
      </c>
    </row>
    <row r="6" spans="1:28" ht="17" customHeight="1" x14ac:dyDescent="0.25">
      <c r="M6" s="8"/>
      <c r="N6" s="5">
        <v>1701</v>
      </c>
      <c r="O6" s="5" t="s">
        <v>195</v>
      </c>
      <c r="P6" s="2" t="s">
        <v>196</v>
      </c>
      <c r="R6" s="9">
        <v>134047</v>
      </c>
      <c r="T6" s="2" t="s">
        <v>196</v>
      </c>
    </row>
    <row r="7" spans="1:28" ht="17" customHeight="1" x14ac:dyDescent="0.25">
      <c r="M7" s="8"/>
      <c r="N7" s="5">
        <v>1751</v>
      </c>
      <c r="O7" s="5" t="s">
        <v>197</v>
      </c>
      <c r="P7" s="2" t="s">
        <v>198</v>
      </c>
      <c r="R7" s="9">
        <v>139628</v>
      </c>
      <c r="T7" s="2" t="s">
        <v>198</v>
      </c>
    </row>
    <row r="9" spans="1:28" x14ac:dyDescent="0.2">
      <c r="O9" s="2"/>
      <c r="P9" s="2"/>
    </row>
    <row r="10" spans="1:28" x14ac:dyDescent="0.2">
      <c r="O10" s="2"/>
      <c r="P10" s="2"/>
    </row>
    <row r="11" spans="1:28" x14ac:dyDescent="0.2">
      <c r="O11" s="2"/>
      <c r="P11" s="2"/>
    </row>
    <row r="12" spans="1:28" x14ac:dyDescent="0.2">
      <c r="O12" s="2"/>
      <c r="P12" s="2"/>
    </row>
    <row r="13" spans="1:28" x14ac:dyDescent="0.2">
      <c r="O13" s="2"/>
      <c r="P13" s="2"/>
    </row>
    <row r="14" spans="1:28" x14ac:dyDescent="0.2">
      <c r="O14" s="2"/>
      <c r="P14" s="2"/>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300-000000000000}"/>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00"/>
  <sheetViews>
    <sheetView topLeftCell="P1" zoomScale="66" zoomScaleNormal="66" workbookViewId="0">
      <selection activeCell="V2" sqref="V2"/>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ht="17" customHeight="1" x14ac:dyDescent="0.25">
      <c r="A2" s="3" t="s">
        <v>37</v>
      </c>
      <c r="B2" s="6">
        <v>85.733000000000004</v>
      </c>
      <c r="C2" s="6">
        <v>19.082999999999998</v>
      </c>
      <c r="D2" s="4" t="s">
        <v>199</v>
      </c>
      <c r="E2" s="2"/>
      <c r="F2" s="2"/>
      <c r="G2" s="2"/>
      <c r="M2" s="8"/>
      <c r="N2">
        <v>29.032</v>
      </c>
      <c r="O2">
        <v>4.75</v>
      </c>
      <c r="P2">
        <v>28.23</v>
      </c>
      <c r="R2" s="14">
        <v>116140</v>
      </c>
      <c r="T2">
        <v>28.23</v>
      </c>
      <c r="V2" s="2" t="s">
        <v>39</v>
      </c>
      <c r="W2" s="7" t="s">
        <v>200</v>
      </c>
      <c r="Y2" s="2" t="s">
        <v>201</v>
      </c>
      <c r="Z2">
        <v>-1440</v>
      </c>
    </row>
    <row r="3" spans="1:27" ht="17" customHeight="1" x14ac:dyDescent="0.25">
      <c r="E3" s="2"/>
      <c r="F3" s="2"/>
      <c r="G3" s="2"/>
      <c r="M3" s="8"/>
      <c r="N3">
        <v>29.332000000000001</v>
      </c>
      <c r="O3">
        <v>4.58</v>
      </c>
      <c r="P3">
        <v>28.3</v>
      </c>
      <c r="R3" s="14">
        <v>117310</v>
      </c>
      <c r="T3">
        <v>28.3</v>
      </c>
    </row>
    <row r="4" spans="1:27" ht="17" customHeight="1" x14ac:dyDescent="0.25">
      <c r="E4" s="2"/>
      <c r="F4" s="2"/>
      <c r="G4" s="2"/>
      <c r="M4" s="8"/>
      <c r="N4">
        <v>29.632000000000001</v>
      </c>
      <c r="O4">
        <v>4.55</v>
      </c>
      <c r="P4">
        <v>28.56</v>
      </c>
      <c r="R4" s="14">
        <v>118480</v>
      </c>
      <c r="T4">
        <v>28.56</v>
      </c>
    </row>
    <row r="5" spans="1:27" ht="17" customHeight="1" x14ac:dyDescent="0.25">
      <c r="E5" s="2"/>
      <c r="F5" s="2"/>
      <c r="G5" s="2"/>
      <c r="M5" s="8"/>
      <c r="N5">
        <v>29.931999999999999</v>
      </c>
      <c r="O5">
        <v>4.6100000000000003</v>
      </c>
      <c r="P5">
        <v>28.9</v>
      </c>
      <c r="R5" s="14">
        <v>119650</v>
      </c>
      <c r="T5">
        <v>28.9</v>
      </c>
    </row>
    <row r="6" spans="1:27" ht="17" customHeight="1" x14ac:dyDescent="0.25">
      <c r="M6" s="8"/>
      <c r="N6">
        <v>30.202000000000002</v>
      </c>
      <c r="O6">
        <v>4.68</v>
      </c>
      <c r="P6">
        <v>29.08</v>
      </c>
      <c r="R6" s="14">
        <v>120700</v>
      </c>
      <c r="T6">
        <v>29.08</v>
      </c>
    </row>
    <row r="7" spans="1:27" ht="17" customHeight="1" x14ac:dyDescent="0.25">
      <c r="M7" s="8"/>
      <c r="N7">
        <v>30.552</v>
      </c>
      <c r="O7">
        <v>4.7300000000000004</v>
      </c>
      <c r="P7">
        <v>28.74</v>
      </c>
      <c r="R7" s="14">
        <v>122060</v>
      </c>
      <c r="T7">
        <v>28.74</v>
      </c>
    </row>
    <row r="8" spans="1:27" x14ac:dyDescent="0.2">
      <c r="N8">
        <v>30.852</v>
      </c>
      <c r="O8">
        <v>4.45</v>
      </c>
      <c r="P8">
        <v>28.89</v>
      </c>
      <c r="R8" s="14">
        <v>123230</v>
      </c>
      <c r="T8">
        <v>28.89</v>
      </c>
    </row>
    <row r="9" spans="1:27" x14ac:dyDescent="0.2">
      <c r="N9">
        <v>31.152000000000001</v>
      </c>
      <c r="O9">
        <v>4.55</v>
      </c>
      <c r="P9">
        <v>26.75</v>
      </c>
      <c r="R9" s="14">
        <v>124390</v>
      </c>
      <c r="T9">
        <v>26.75</v>
      </c>
    </row>
    <row r="10" spans="1:27" x14ac:dyDescent="0.2">
      <c r="N10">
        <v>32.326999999999998</v>
      </c>
      <c r="O10">
        <v>4.47</v>
      </c>
      <c r="P10">
        <v>26.34</v>
      </c>
      <c r="R10" s="14">
        <v>128970</v>
      </c>
      <c r="T10">
        <v>26.34</v>
      </c>
    </row>
    <row r="11" spans="1:27" x14ac:dyDescent="0.2">
      <c r="N11">
        <v>32.627000000000002</v>
      </c>
      <c r="O11">
        <v>4.22</v>
      </c>
      <c r="P11">
        <v>26.29</v>
      </c>
      <c r="R11" s="14">
        <v>131720</v>
      </c>
      <c r="T11">
        <v>26.29</v>
      </c>
    </row>
    <row r="12" spans="1:27" x14ac:dyDescent="0.2">
      <c r="N12">
        <v>32.927</v>
      </c>
      <c r="O12">
        <v>4.04</v>
      </c>
      <c r="P12">
        <v>25.99</v>
      </c>
      <c r="R12" s="14">
        <v>134460</v>
      </c>
      <c r="T12">
        <v>25.99</v>
      </c>
    </row>
    <row r="13" spans="1:27" x14ac:dyDescent="0.2">
      <c r="N13">
        <v>33.237000000000002</v>
      </c>
      <c r="O13">
        <v>4.04</v>
      </c>
      <c r="P13">
        <v>26.05</v>
      </c>
      <c r="R13" s="14">
        <v>137300</v>
      </c>
      <c r="T13">
        <v>26.05</v>
      </c>
    </row>
    <row r="14" spans="1:27" x14ac:dyDescent="0.2">
      <c r="N14">
        <v>33.536999999999999</v>
      </c>
      <c r="O14">
        <v>3.83</v>
      </c>
      <c r="P14">
        <v>26.08</v>
      </c>
      <c r="R14" s="14">
        <v>140050</v>
      </c>
      <c r="T14">
        <v>26.08</v>
      </c>
    </row>
    <row r="15" spans="1:27" x14ac:dyDescent="0.2">
      <c r="R15" s="14"/>
    </row>
    <row r="16" spans="1:27" x14ac:dyDescent="0.2">
      <c r="R16" s="14"/>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400-000000000000}"/>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00"/>
  <sheetViews>
    <sheetView zoomScale="66" zoomScaleNormal="66" workbookViewId="0">
      <selection activeCell="A3" sqref="A3"/>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338</v>
      </c>
      <c r="B2" s="6">
        <v>-57.575980000000001</v>
      </c>
      <c r="C2" s="6">
        <v>33.6907</v>
      </c>
      <c r="D2" s="4" t="s">
        <v>28</v>
      </c>
      <c r="E2" s="2"/>
      <c r="F2" s="2"/>
      <c r="G2" s="2"/>
      <c r="L2" s="5">
        <v>3292</v>
      </c>
      <c r="M2">
        <v>3.14</v>
      </c>
      <c r="R2">
        <v>115060</v>
      </c>
      <c r="T2">
        <v>21.05</v>
      </c>
      <c r="V2" s="2" t="s">
        <v>41</v>
      </c>
      <c r="W2" s="7" t="s">
        <v>202</v>
      </c>
      <c r="X2" s="2" t="s">
        <v>203</v>
      </c>
      <c r="Z2">
        <v>-4541</v>
      </c>
    </row>
    <row r="3" spans="1:27" x14ac:dyDescent="0.2">
      <c r="E3" s="2"/>
      <c r="F3" s="2"/>
      <c r="G3" s="2"/>
      <c r="L3" s="5">
        <v>3296</v>
      </c>
      <c r="M3">
        <v>3.04</v>
      </c>
      <c r="R3">
        <v>115150</v>
      </c>
      <c r="T3">
        <v>20.62</v>
      </c>
    </row>
    <row r="4" spans="1:27" x14ac:dyDescent="0.2">
      <c r="E4" s="2"/>
      <c r="F4" s="2"/>
      <c r="G4" s="2"/>
      <c r="L4" s="5">
        <v>3324</v>
      </c>
      <c r="M4">
        <v>2.97</v>
      </c>
      <c r="R4">
        <v>115230</v>
      </c>
      <c r="T4">
        <v>20.58</v>
      </c>
    </row>
    <row r="5" spans="1:27" x14ac:dyDescent="0.2">
      <c r="E5" s="2"/>
      <c r="F5" s="2"/>
      <c r="G5" s="2"/>
      <c r="L5" s="5">
        <v>3328</v>
      </c>
      <c r="M5">
        <v>2.61</v>
      </c>
      <c r="R5">
        <v>115310</v>
      </c>
      <c r="T5">
        <v>21.07</v>
      </c>
    </row>
    <row r="6" spans="1:27" x14ac:dyDescent="0.2">
      <c r="L6" s="5">
        <v>3332</v>
      </c>
      <c r="M6">
        <v>2.64</v>
      </c>
      <c r="R6">
        <v>115390</v>
      </c>
      <c r="T6">
        <v>20.72</v>
      </c>
    </row>
    <row r="7" spans="1:27" x14ac:dyDescent="0.2">
      <c r="L7" s="5">
        <v>3336</v>
      </c>
      <c r="M7">
        <v>2.5099999999999998</v>
      </c>
      <c r="R7">
        <v>115460</v>
      </c>
      <c r="T7">
        <v>21.36</v>
      </c>
    </row>
    <row r="8" spans="1:27" x14ac:dyDescent="0.2">
      <c r="L8" s="5">
        <v>3340</v>
      </c>
      <c r="M8">
        <v>2.52</v>
      </c>
      <c r="R8">
        <v>115530</v>
      </c>
      <c r="T8">
        <v>21.16</v>
      </c>
    </row>
    <row r="9" spans="1:27" x14ac:dyDescent="0.2">
      <c r="L9" s="5">
        <v>3344</v>
      </c>
      <c r="M9">
        <v>2.4900000000000002</v>
      </c>
      <c r="R9">
        <v>115600</v>
      </c>
      <c r="T9">
        <v>20.350000000000001</v>
      </c>
    </row>
    <row r="10" spans="1:27" x14ac:dyDescent="0.2">
      <c r="L10" s="5">
        <v>3348</v>
      </c>
      <c r="M10">
        <v>2.41</v>
      </c>
      <c r="R10">
        <v>115670</v>
      </c>
      <c r="T10">
        <v>19.760000000000002</v>
      </c>
    </row>
    <row r="11" spans="1:27" x14ac:dyDescent="0.2">
      <c r="L11" s="5">
        <v>3352</v>
      </c>
      <c r="M11">
        <v>2.4300000000000002</v>
      </c>
      <c r="R11">
        <v>115720</v>
      </c>
      <c r="T11">
        <v>19.98</v>
      </c>
    </row>
    <row r="12" spans="1:27" x14ac:dyDescent="0.2">
      <c r="L12" s="5">
        <v>3356</v>
      </c>
      <c r="M12">
        <v>2.38</v>
      </c>
      <c r="R12">
        <v>115770</v>
      </c>
      <c r="T12">
        <v>19.64</v>
      </c>
    </row>
    <row r="13" spans="1:27" x14ac:dyDescent="0.2">
      <c r="L13" s="5">
        <v>3360</v>
      </c>
      <c r="M13">
        <v>2.4</v>
      </c>
      <c r="R13">
        <v>115810</v>
      </c>
      <c r="T13">
        <v>20.46</v>
      </c>
    </row>
    <row r="14" spans="1:27" x14ac:dyDescent="0.2">
      <c r="L14" s="5">
        <v>3364</v>
      </c>
      <c r="M14">
        <v>2.35</v>
      </c>
      <c r="R14">
        <v>115860</v>
      </c>
      <c r="T14">
        <v>20.36</v>
      </c>
    </row>
    <row r="15" spans="1:27" x14ac:dyDescent="0.2">
      <c r="L15" s="5">
        <v>3368</v>
      </c>
      <c r="M15">
        <v>2.73</v>
      </c>
      <c r="R15">
        <v>115930</v>
      </c>
      <c r="T15">
        <v>20.99</v>
      </c>
    </row>
    <row r="16" spans="1:27" x14ac:dyDescent="0.2">
      <c r="L16" s="5">
        <v>3372</v>
      </c>
      <c r="M16">
        <v>2.98</v>
      </c>
      <c r="R16">
        <v>116020</v>
      </c>
      <c r="T16">
        <v>19.809999999999999</v>
      </c>
    </row>
    <row r="17" spans="12:20" x14ac:dyDescent="0.2">
      <c r="L17" s="5">
        <v>3380</v>
      </c>
      <c r="M17">
        <v>3.02</v>
      </c>
      <c r="R17">
        <v>116080</v>
      </c>
      <c r="T17">
        <v>19.66</v>
      </c>
    </row>
    <row r="18" spans="12:20" x14ac:dyDescent="0.2">
      <c r="L18" s="5">
        <v>3384</v>
      </c>
      <c r="M18">
        <v>3.79</v>
      </c>
      <c r="R18">
        <v>116110</v>
      </c>
      <c r="T18">
        <v>19.53</v>
      </c>
    </row>
    <row r="19" spans="12:20" x14ac:dyDescent="0.2">
      <c r="L19" s="5">
        <v>3408</v>
      </c>
      <c r="M19">
        <v>3.53</v>
      </c>
      <c r="R19">
        <v>116230</v>
      </c>
      <c r="T19">
        <v>22.68</v>
      </c>
    </row>
    <row r="20" spans="12:20" x14ac:dyDescent="0.2">
      <c r="L20" s="5">
        <v>3424</v>
      </c>
      <c r="M20">
        <v>4.28</v>
      </c>
      <c r="R20">
        <v>116420</v>
      </c>
      <c r="T20">
        <v>22.58</v>
      </c>
    </row>
    <row r="21" spans="12:20" x14ac:dyDescent="0.2">
      <c r="L21" s="5">
        <v>3428</v>
      </c>
      <c r="M21">
        <v>3.85</v>
      </c>
      <c r="R21">
        <v>116620</v>
      </c>
      <c r="T21">
        <v>21.78</v>
      </c>
    </row>
    <row r="22" spans="12:20" x14ac:dyDescent="0.2">
      <c r="L22" s="5">
        <v>3432</v>
      </c>
      <c r="M22">
        <v>4.58</v>
      </c>
      <c r="R22">
        <v>116820</v>
      </c>
      <c r="T22">
        <v>22.98</v>
      </c>
    </row>
    <row r="23" spans="12:20" x14ac:dyDescent="0.2">
      <c r="L23" s="5">
        <v>3476</v>
      </c>
      <c r="M23">
        <v>4.0599999999999996</v>
      </c>
      <c r="R23">
        <v>117020</v>
      </c>
      <c r="T23">
        <v>22.53</v>
      </c>
    </row>
    <row r="24" spans="12:20" x14ac:dyDescent="0.2">
      <c r="L24" s="5">
        <v>3480</v>
      </c>
      <c r="M24">
        <v>3.18</v>
      </c>
      <c r="R24">
        <v>117220</v>
      </c>
      <c r="T24">
        <v>22.2</v>
      </c>
    </row>
    <row r="25" spans="12:20" x14ac:dyDescent="0.2">
      <c r="L25" s="5">
        <v>3488</v>
      </c>
      <c r="M25">
        <v>3.31</v>
      </c>
      <c r="R25">
        <v>117460</v>
      </c>
      <c r="T25">
        <v>22.52</v>
      </c>
    </row>
    <row r="26" spans="12:20" x14ac:dyDescent="0.2">
      <c r="L26" s="5">
        <v>3492</v>
      </c>
      <c r="M26">
        <v>4.21</v>
      </c>
      <c r="R26">
        <v>117740</v>
      </c>
      <c r="T26">
        <v>22.48</v>
      </c>
    </row>
    <row r="27" spans="12:20" x14ac:dyDescent="0.2">
      <c r="L27" s="5">
        <v>3496</v>
      </c>
      <c r="M27">
        <v>3.29</v>
      </c>
      <c r="R27">
        <v>118030</v>
      </c>
      <c r="T27">
        <v>22.86</v>
      </c>
    </row>
    <row r="28" spans="12:20" x14ac:dyDescent="0.2">
      <c r="L28" s="5">
        <v>3508</v>
      </c>
      <c r="M28">
        <v>3.29</v>
      </c>
      <c r="R28">
        <v>118350</v>
      </c>
      <c r="T28">
        <v>22.47</v>
      </c>
    </row>
    <row r="29" spans="12:20" x14ac:dyDescent="0.2">
      <c r="L29" s="5">
        <v>3512</v>
      </c>
      <c r="M29">
        <v>2.4700000000000002</v>
      </c>
      <c r="R29">
        <v>118650</v>
      </c>
      <c r="T29">
        <v>22.57</v>
      </c>
    </row>
    <row r="30" spans="12:20" x14ac:dyDescent="0.2">
      <c r="L30" s="5">
        <v>3540</v>
      </c>
      <c r="M30">
        <v>4.28</v>
      </c>
      <c r="R30">
        <v>118940</v>
      </c>
      <c r="T30">
        <v>22.56</v>
      </c>
    </row>
    <row r="31" spans="12:20" x14ac:dyDescent="0.2">
      <c r="R31">
        <v>119230</v>
      </c>
      <c r="T31">
        <v>22.7</v>
      </c>
    </row>
    <row r="32" spans="12:20" x14ac:dyDescent="0.2">
      <c r="R32">
        <v>119540</v>
      </c>
      <c r="T32">
        <v>22.43</v>
      </c>
    </row>
    <row r="33" spans="18:20" x14ac:dyDescent="0.2">
      <c r="R33">
        <v>119880</v>
      </c>
      <c r="T33">
        <v>22.43</v>
      </c>
    </row>
    <row r="34" spans="18:20" x14ac:dyDescent="0.2">
      <c r="R34">
        <v>120250</v>
      </c>
      <c r="T34">
        <v>22.68</v>
      </c>
    </row>
    <row r="35" spans="18:20" x14ac:dyDescent="0.2">
      <c r="R35">
        <v>120620</v>
      </c>
      <c r="T35">
        <v>22.47</v>
      </c>
    </row>
    <row r="36" spans="18:20" x14ac:dyDescent="0.2">
      <c r="R36">
        <v>120970</v>
      </c>
      <c r="T36">
        <v>22.55</v>
      </c>
    </row>
    <row r="37" spans="18:20" x14ac:dyDescent="0.2">
      <c r="R37">
        <v>121370</v>
      </c>
      <c r="T37">
        <v>22.51</v>
      </c>
    </row>
    <row r="38" spans="18:20" x14ac:dyDescent="0.2">
      <c r="R38">
        <v>121810</v>
      </c>
      <c r="T38">
        <v>22.5</v>
      </c>
    </row>
    <row r="39" spans="18:20" x14ac:dyDescent="0.2">
      <c r="R39">
        <v>122240</v>
      </c>
      <c r="T39">
        <v>22.77</v>
      </c>
    </row>
    <row r="40" spans="18:20" x14ac:dyDescent="0.2">
      <c r="R40">
        <v>122670</v>
      </c>
      <c r="T40">
        <v>22.66</v>
      </c>
    </row>
    <row r="41" spans="18:20" x14ac:dyDescent="0.2">
      <c r="R41">
        <v>123080</v>
      </c>
      <c r="T41">
        <v>23.09</v>
      </c>
    </row>
    <row r="42" spans="18:20" x14ac:dyDescent="0.2">
      <c r="R42">
        <v>123490</v>
      </c>
      <c r="T42">
        <v>22.32</v>
      </c>
    </row>
    <row r="43" spans="18:20" x14ac:dyDescent="0.2">
      <c r="R43">
        <v>123880</v>
      </c>
      <c r="T43">
        <v>22.56</v>
      </c>
    </row>
    <row r="44" spans="18:20" x14ac:dyDescent="0.2">
      <c r="R44">
        <v>124270</v>
      </c>
      <c r="T44">
        <v>22.88</v>
      </c>
    </row>
    <row r="45" spans="18:20" x14ac:dyDescent="0.2">
      <c r="R45">
        <v>124650</v>
      </c>
      <c r="T45">
        <v>22.64</v>
      </c>
    </row>
    <row r="46" spans="18:20" x14ac:dyDescent="0.2">
      <c r="R46">
        <v>125660</v>
      </c>
      <c r="T46">
        <v>22.16</v>
      </c>
    </row>
    <row r="47" spans="18:20" x14ac:dyDescent="0.2">
      <c r="R47">
        <v>125990</v>
      </c>
      <c r="T47">
        <v>22.01</v>
      </c>
    </row>
    <row r="48" spans="18:20" x14ac:dyDescent="0.2">
      <c r="R48">
        <v>126360</v>
      </c>
      <c r="T48">
        <v>21.82</v>
      </c>
    </row>
    <row r="49" spans="18:20" x14ac:dyDescent="0.2">
      <c r="R49">
        <v>126640</v>
      </c>
      <c r="T49">
        <v>21.16</v>
      </c>
    </row>
    <row r="50" spans="18:20" x14ac:dyDescent="0.2">
      <c r="R50">
        <v>126850</v>
      </c>
      <c r="T50">
        <v>21.82</v>
      </c>
    </row>
    <row r="51" spans="18:20" x14ac:dyDescent="0.2">
      <c r="R51">
        <v>127040</v>
      </c>
      <c r="T51">
        <v>21.6</v>
      </c>
    </row>
    <row r="52" spans="18:20" x14ac:dyDescent="0.2">
      <c r="R52">
        <v>127210</v>
      </c>
      <c r="T52">
        <v>21.61</v>
      </c>
    </row>
    <row r="53" spans="18:20" x14ac:dyDescent="0.2">
      <c r="R53">
        <v>127360</v>
      </c>
      <c r="T53">
        <v>21.69</v>
      </c>
    </row>
    <row r="54" spans="18:20" x14ac:dyDescent="0.2">
      <c r="R54">
        <v>127490</v>
      </c>
      <c r="T54">
        <v>21.56</v>
      </c>
    </row>
    <row r="55" spans="18:20" x14ac:dyDescent="0.2">
      <c r="R55">
        <v>127610</v>
      </c>
      <c r="T55">
        <v>21.75</v>
      </c>
    </row>
    <row r="56" spans="18:20" x14ac:dyDescent="0.2">
      <c r="R56">
        <v>127740</v>
      </c>
      <c r="T56">
        <v>21.42</v>
      </c>
    </row>
    <row r="57" spans="18:20" x14ac:dyDescent="0.2">
      <c r="R57">
        <v>127870</v>
      </c>
      <c r="T57">
        <v>20.52</v>
      </c>
    </row>
    <row r="58" spans="18:20" x14ac:dyDescent="0.2">
      <c r="R58">
        <v>128000</v>
      </c>
      <c r="T58">
        <v>20.68</v>
      </c>
    </row>
    <row r="59" spans="18:20" x14ac:dyDescent="0.2">
      <c r="R59">
        <v>128130</v>
      </c>
      <c r="T59">
        <v>20.149999999999999</v>
      </c>
    </row>
    <row r="60" spans="18:20" x14ac:dyDescent="0.2">
      <c r="R60">
        <v>128250</v>
      </c>
      <c r="T60">
        <v>20.36</v>
      </c>
    </row>
    <row r="61" spans="18:20" x14ac:dyDescent="0.2">
      <c r="R61">
        <v>128360</v>
      </c>
      <c r="T61">
        <v>20.11</v>
      </c>
    </row>
    <row r="62" spans="18:20" x14ac:dyDescent="0.2">
      <c r="R62">
        <v>128460</v>
      </c>
      <c r="T62">
        <v>20.28</v>
      </c>
    </row>
    <row r="63" spans="18:20" x14ac:dyDescent="0.2">
      <c r="R63">
        <v>128540</v>
      </c>
      <c r="T63">
        <v>19.61</v>
      </c>
    </row>
    <row r="64" spans="18:20" x14ac:dyDescent="0.2">
      <c r="R64">
        <v>128610</v>
      </c>
      <c r="T64">
        <v>19.32</v>
      </c>
    </row>
    <row r="65" spans="18:20" x14ac:dyDescent="0.2">
      <c r="R65">
        <v>128680</v>
      </c>
      <c r="T65">
        <v>20.07</v>
      </c>
    </row>
    <row r="66" spans="18:20" x14ac:dyDescent="0.2">
      <c r="R66">
        <v>128750</v>
      </c>
      <c r="T66">
        <v>19.28</v>
      </c>
    </row>
    <row r="67" spans="18:20" x14ac:dyDescent="0.2">
      <c r="R67">
        <v>128820</v>
      </c>
      <c r="T67">
        <v>19.54</v>
      </c>
    </row>
    <row r="68" spans="18:20" x14ac:dyDescent="0.2">
      <c r="R68">
        <v>128890</v>
      </c>
      <c r="T68">
        <v>19.28</v>
      </c>
    </row>
    <row r="69" spans="18:20" x14ac:dyDescent="0.2">
      <c r="R69">
        <v>128950</v>
      </c>
      <c r="T69">
        <v>19.25</v>
      </c>
    </row>
    <row r="70" spans="18:20" x14ac:dyDescent="0.2">
      <c r="R70">
        <v>129010</v>
      </c>
      <c r="T70">
        <v>19.2</v>
      </c>
    </row>
    <row r="71" spans="18:20" x14ac:dyDescent="0.2">
      <c r="R71">
        <v>129070</v>
      </c>
      <c r="T71">
        <v>19.88</v>
      </c>
    </row>
    <row r="72" spans="18:20" x14ac:dyDescent="0.2">
      <c r="R72">
        <v>129120</v>
      </c>
      <c r="T72">
        <v>19.41</v>
      </c>
    </row>
    <row r="73" spans="18:20" x14ac:dyDescent="0.2">
      <c r="R73">
        <v>129170</v>
      </c>
      <c r="T73">
        <v>18.579999999999998</v>
      </c>
    </row>
    <row r="74" spans="18:20" x14ac:dyDescent="0.2">
      <c r="R74">
        <v>129220</v>
      </c>
      <c r="T74">
        <v>18.47</v>
      </c>
    </row>
    <row r="75" spans="18:20" x14ac:dyDescent="0.2">
      <c r="R75">
        <v>129260</v>
      </c>
      <c r="T75">
        <v>18.010000000000002</v>
      </c>
    </row>
    <row r="76" spans="18:20" x14ac:dyDescent="0.2">
      <c r="R76">
        <v>129310</v>
      </c>
      <c r="T76">
        <v>17.68</v>
      </c>
    </row>
    <row r="77" spans="18:20" x14ac:dyDescent="0.2">
      <c r="R77">
        <v>129360</v>
      </c>
      <c r="T77">
        <v>17.11</v>
      </c>
    </row>
    <row r="78" spans="18:20" x14ac:dyDescent="0.2">
      <c r="R78">
        <v>129410</v>
      </c>
      <c r="T78">
        <v>17.420000000000002</v>
      </c>
    </row>
    <row r="79" spans="18:20" x14ac:dyDescent="0.2">
      <c r="R79">
        <v>129460</v>
      </c>
      <c r="T79">
        <v>17.57</v>
      </c>
    </row>
    <row r="80" spans="18:20" x14ac:dyDescent="0.2">
      <c r="R80">
        <v>129490</v>
      </c>
      <c r="T80">
        <v>17.52</v>
      </c>
    </row>
    <row r="81" spans="18:20" x14ac:dyDescent="0.2">
      <c r="R81">
        <v>129520</v>
      </c>
      <c r="T81">
        <v>16.95</v>
      </c>
    </row>
    <row r="82" spans="18:20" x14ac:dyDescent="0.2">
      <c r="R82">
        <v>129550</v>
      </c>
      <c r="T82">
        <v>16.920000000000002</v>
      </c>
    </row>
    <row r="83" spans="18:20" x14ac:dyDescent="0.2">
      <c r="R83">
        <v>129580</v>
      </c>
      <c r="T83">
        <v>16.600000000000001</v>
      </c>
    </row>
    <row r="84" spans="18:20" x14ac:dyDescent="0.2">
      <c r="R84">
        <v>129640</v>
      </c>
      <c r="T84">
        <v>16.850000000000001</v>
      </c>
    </row>
    <row r="85" spans="18:20" x14ac:dyDescent="0.2">
      <c r="R85">
        <v>129700</v>
      </c>
      <c r="T85">
        <v>16.739999999999998</v>
      </c>
    </row>
    <row r="86" spans="18:20" x14ac:dyDescent="0.2">
      <c r="R86">
        <v>129750</v>
      </c>
      <c r="T86">
        <v>16.55</v>
      </c>
    </row>
    <row r="87" spans="18:20" x14ac:dyDescent="0.2">
      <c r="R87">
        <v>129800</v>
      </c>
      <c r="T87">
        <v>16.760000000000002</v>
      </c>
    </row>
    <row r="88" spans="18:20" x14ac:dyDescent="0.2">
      <c r="R88">
        <v>129860</v>
      </c>
      <c r="T88">
        <v>17.100000000000001</v>
      </c>
    </row>
    <row r="89" spans="18:20" x14ac:dyDescent="0.2">
      <c r="R89">
        <v>129920</v>
      </c>
      <c r="T89">
        <v>17.36</v>
      </c>
    </row>
    <row r="90" spans="18:20" x14ac:dyDescent="0.2">
      <c r="R90">
        <v>129980</v>
      </c>
      <c r="T90">
        <v>17.12</v>
      </c>
    </row>
    <row r="91" spans="18:20" x14ac:dyDescent="0.2">
      <c r="R91">
        <v>130040</v>
      </c>
      <c r="T91">
        <v>17.37</v>
      </c>
    </row>
    <row r="92" spans="18:20" x14ac:dyDescent="0.2">
      <c r="R92">
        <v>130100</v>
      </c>
      <c r="T92">
        <v>17.190000000000001</v>
      </c>
    </row>
    <row r="93" spans="18:20" x14ac:dyDescent="0.2">
      <c r="R93">
        <v>130160</v>
      </c>
      <c r="T93">
        <v>16.940000000000001</v>
      </c>
    </row>
    <row r="94" spans="18:20" x14ac:dyDescent="0.2">
      <c r="R94">
        <v>130220</v>
      </c>
      <c r="T94">
        <v>16.940000000000001</v>
      </c>
    </row>
    <row r="95" spans="18:20" x14ac:dyDescent="0.2">
      <c r="R95">
        <v>130280</v>
      </c>
      <c r="T95">
        <v>16.690000000000001</v>
      </c>
    </row>
    <row r="96" spans="18:20" x14ac:dyDescent="0.2">
      <c r="R96">
        <v>130340</v>
      </c>
      <c r="T96">
        <v>16.579999999999998</v>
      </c>
    </row>
    <row r="97" spans="18:20" x14ac:dyDescent="0.2">
      <c r="R97">
        <v>130400</v>
      </c>
      <c r="T97">
        <v>16.72</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500-000000000000}"/>
  </hyperlinks>
  <pageMargins left="0.75" right="0.75" top="1" bottom="1" header="0.5" footer="0.5"/>
  <pageSetup orientation="portrait" horizontalDpi="4294967292" verticalDpi="429496729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00"/>
  <sheetViews>
    <sheetView topLeftCell="P1" zoomScale="66" zoomScaleNormal="66" workbookViewId="0">
      <selection activeCell="V2" sqref="V2"/>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42</v>
      </c>
      <c r="B2" s="6">
        <v>-122.2833</v>
      </c>
      <c r="C2" s="6">
        <v>34.533329999999999</v>
      </c>
      <c r="D2" s="4" t="s">
        <v>28</v>
      </c>
      <c r="E2" s="2"/>
      <c r="F2" s="2"/>
      <c r="G2" s="2"/>
      <c r="N2">
        <v>7.29</v>
      </c>
      <c r="O2">
        <v>0.46899999999999997</v>
      </c>
      <c r="R2">
        <v>115382.3</v>
      </c>
      <c r="T2">
        <v>12.653</v>
      </c>
      <c r="V2" s="2" t="s">
        <v>29</v>
      </c>
      <c r="W2" s="7" t="s">
        <v>204</v>
      </c>
      <c r="Y2" s="2" t="s">
        <v>31</v>
      </c>
      <c r="Z2">
        <v>-3834</v>
      </c>
    </row>
    <row r="3" spans="1:27" x14ac:dyDescent="0.2">
      <c r="E3" s="2"/>
      <c r="F3" s="2"/>
      <c r="G3" s="2"/>
      <c r="N3">
        <v>7.38</v>
      </c>
      <c r="O3">
        <v>0.49</v>
      </c>
      <c r="R3">
        <v>116697.60000000001</v>
      </c>
      <c r="T3">
        <v>13.276</v>
      </c>
    </row>
    <row r="4" spans="1:27" x14ac:dyDescent="0.2">
      <c r="E4" s="2"/>
      <c r="F4" s="2"/>
      <c r="G4" s="2"/>
      <c r="N4">
        <v>7.47</v>
      </c>
      <c r="O4">
        <v>0.47299999999999998</v>
      </c>
      <c r="R4">
        <v>118012.8</v>
      </c>
      <c r="T4">
        <v>12.750999999999999</v>
      </c>
    </row>
    <row r="5" spans="1:27" x14ac:dyDescent="0.2">
      <c r="E5" s="2"/>
      <c r="F5" s="2"/>
      <c r="G5" s="2"/>
      <c r="N5">
        <v>7.56</v>
      </c>
      <c r="O5">
        <v>0.51900000000000002</v>
      </c>
      <c r="R5">
        <v>119328.1</v>
      </c>
      <c r="T5">
        <v>14.114000000000001</v>
      </c>
    </row>
    <row r="6" spans="1:27" x14ac:dyDescent="0.2">
      <c r="N6">
        <v>7.65</v>
      </c>
      <c r="O6">
        <v>0.56599999999999995</v>
      </c>
      <c r="R6">
        <v>120643.4</v>
      </c>
      <c r="T6">
        <v>15.496</v>
      </c>
    </row>
    <row r="7" spans="1:27" x14ac:dyDescent="0.2">
      <c r="N7">
        <v>7.74</v>
      </c>
      <c r="O7">
        <v>0.61499999999999999</v>
      </c>
      <c r="R7">
        <v>121958.7</v>
      </c>
      <c r="T7">
        <v>16.943000000000001</v>
      </c>
    </row>
    <row r="8" spans="1:27" x14ac:dyDescent="0.2">
      <c r="N8">
        <v>7.83</v>
      </c>
      <c r="O8">
        <v>0.63500000000000001</v>
      </c>
      <c r="R8">
        <v>123274</v>
      </c>
      <c r="T8">
        <v>17.536999999999999</v>
      </c>
    </row>
    <row r="9" spans="1:27" x14ac:dyDescent="0.2">
      <c r="N9">
        <v>7.92</v>
      </c>
      <c r="O9">
        <v>0.629</v>
      </c>
      <c r="R9">
        <v>123813.4</v>
      </c>
      <c r="T9">
        <v>17.34</v>
      </c>
    </row>
    <row r="10" spans="1:27" x14ac:dyDescent="0.2">
      <c r="N10">
        <v>8.01</v>
      </c>
      <c r="O10">
        <v>0.61399999999999999</v>
      </c>
      <c r="R10">
        <v>124352.9</v>
      </c>
      <c r="T10">
        <v>16.919</v>
      </c>
    </row>
    <row r="11" spans="1:27" x14ac:dyDescent="0.2">
      <c r="N11">
        <v>8.1</v>
      </c>
      <c r="O11">
        <v>0.54500000000000004</v>
      </c>
      <c r="R11">
        <v>124892.3</v>
      </c>
      <c r="T11">
        <v>14.893000000000001</v>
      </c>
    </row>
    <row r="12" spans="1:27" x14ac:dyDescent="0.2">
      <c r="N12">
        <v>8.19</v>
      </c>
      <c r="O12">
        <v>0.51500000000000001</v>
      </c>
      <c r="R12">
        <v>125431.7</v>
      </c>
      <c r="T12">
        <v>14.013</v>
      </c>
    </row>
    <row r="13" spans="1:27" x14ac:dyDescent="0.2">
      <c r="N13">
        <v>8.2799999999999994</v>
      </c>
      <c r="O13">
        <v>0.48599999999999999</v>
      </c>
      <c r="R13">
        <v>125971.1</v>
      </c>
      <c r="T13">
        <v>13.138999999999999</v>
      </c>
    </row>
    <row r="14" spans="1:27" x14ac:dyDescent="0.2">
      <c r="N14">
        <v>8.3699999999999992</v>
      </c>
      <c r="O14">
        <v>0.46800000000000003</v>
      </c>
      <c r="R14">
        <v>126510.6</v>
      </c>
      <c r="T14">
        <v>12.632</v>
      </c>
    </row>
    <row r="15" spans="1:27" x14ac:dyDescent="0.2">
      <c r="N15">
        <v>8.4600000000000009</v>
      </c>
      <c r="O15">
        <v>0.46899999999999997</v>
      </c>
      <c r="R15">
        <v>127050</v>
      </c>
      <c r="T15">
        <v>12.662000000000001</v>
      </c>
    </row>
    <row r="16" spans="1:27" x14ac:dyDescent="0.2">
      <c r="N16">
        <v>8.5500000000000007</v>
      </c>
      <c r="O16">
        <v>0.51500000000000001</v>
      </c>
      <c r="R16">
        <v>128775.2</v>
      </c>
      <c r="T16">
        <v>13.997999999999999</v>
      </c>
    </row>
    <row r="17" spans="14:20" x14ac:dyDescent="0.2">
      <c r="N17">
        <v>8.64</v>
      </c>
      <c r="O17">
        <v>0.498</v>
      </c>
      <c r="R17">
        <v>130500.3</v>
      </c>
      <c r="T17">
        <v>13.505000000000001</v>
      </c>
    </row>
    <row r="18" spans="14:20" x14ac:dyDescent="0.2">
      <c r="N18">
        <v>8.73</v>
      </c>
      <c r="O18">
        <v>0.47799999999999998</v>
      </c>
      <c r="R18">
        <v>132225.5</v>
      </c>
      <c r="T18">
        <v>12.925000000000001</v>
      </c>
    </row>
    <row r="19" spans="14:20" x14ac:dyDescent="0.2">
      <c r="N19">
        <v>8.82</v>
      </c>
      <c r="O19">
        <v>0.441</v>
      </c>
      <c r="R19">
        <v>133950.6</v>
      </c>
      <c r="T19">
        <v>11.813000000000001</v>
      </c>
    </row>
    <row r="20" spans="14:20" x14ac:dyDescent="0.2">
      <c r="N20">
        <v>8.91</v>
      </c>
      <c r="O20">
        <v>0.45400000000000001</v>
      </c>
      <c r="R20">
        <v>134761.9</v>
      </c>
      <c r="T20">
        <v>12.196</v>
      </c>
    </row>
    <row r="21" spans="14:20" x14ac:dyDescent="0.2">
      <c r="N21">
        <v>9</v>
      </c>
      <c r="O21">
        <v>0.42199999999999999</v>
      </c>
      <c r="R21">
        <v>135573.20000000001</v>
      </c>
      <c r="T21">
        <v>11.263</v>
      </c>
    </row>
    <row r="22" spans="14:20" x14ac:dyDescent="0.2">
      <c r="N22">
        <v>9.1</v>
      </c>
      <c r="O22">
        <v>0.38300000000000001</v>
      </c>
      <c r="R22">
        <v>136474.70000000001</v>
      </c>
      <c r="T22">
        <v>10.114000000000001</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00"/>
  <sheetViews>
    <sheetView topLeftCell="O1" zoomScale="66" zoomScaleNormal="66" workbookViewId="0">
      <selection activeCell="V2" sqref="V2"/>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27</v>
      </c>
      <c r="B2" s="6">
        <v>-118.9</v>
      </c>
      <c r="C2" s="6">
        <v>-32.799999999999997</v>
      </c>
      <c r="D2" s="4" t="s">
        <v>28</v>
      </c>
      <c r="E2" s="2"/>
      <c r="F2" s="2"/>
      <c r="G2" s="2"/>
      <c r="N2">
        <v>13</v>
      </c>
      <c r="O2">
        <v>0.59199999999999997</v>
      </c>
      <c r="R2">
        <v>116675</v>
      </c>
      <c r="T2">
        <v>16.253</v>
      </c>
      <c r="V2" s="2" t="s">
        <v>29</v>
      </c>
      <c r="W2" s="7" t="s">
        <v>30</v>
      </c>
      <c r="Y2" s="2" t="s">
        <v>31</v>
      </c>
      <c r="Z2">
        <v>-1165</v>
      </c>
    </row>
    <row r="3" spans="1:27" x14ac:dyDescent="0.2">
      <c r="E3" s="2"/>
      <c r="F3" s="2"/>
      <c r="G3" s="2"/>
      <c r="N3">
        <v>13.2</v>
      </c>
      <c r="O3">
        <v>0.64600000000000002</v>
      </c>
      <c r="R3">
        <v>119290.6</v>
      </c>
      <c r="T3">
        <v>17.864999999999998</v>
      </c>
    </row>
    <row r="4" spans="1:27" x14ac:dyDescent="0.2">
      <c r="E4" s="2"/>
      <c r="F4" s="2"/>
      <c r="G4" s="2"/>
      <c r="N4">
        <v>13.81</v>
      </c>
      <c r="O4">
        <v>0.59599999999999997</v>
      </c>
      <c r="R4">
        <v>124094</v>
      </c>
      <c r="T4">
        <v>16.390999999999998</v>
      </c>
    </row>
    <row r="5" spans="1:27" x14ac:dyDescent="0.2">
      <c r="E5" s="2"/>
      <c r="F5" s="2"/>
      <c r="G5" s="2"/>
      <c r="N5">
        <v>13.4</v>
      </c>
      <c r="O5">
        <v>0.68500000000000005</v>
      </c>
      <c r="R5">
        <v>121906.1</v>
      </c>
      <c r="T5">
        <v>19.007000000000001</v>
      </c>
    </row>
    <row r="6" spans="1:27" x14ac:dyDescent="0.2">
      <c r="N6">
        <v>14.01</v>
      </c>
      <c r="O6">
        <v>0.57799999999999996</v>
      </c>
      <c r="R6">
        <v>125007.3</v>
      </c>
      <c r="T6">
        <v>15.855</v>
      </c>
    </row>
    <row r="7" spans="1:27" x14ac:dyDescent="0.2">
      <c r="N7">
        <v>13.62</v>
      </c>
      <c r="O7">
        <v>0.67300000000000004</v>
      </c>
      <c r="R7">
        <v>123274</v>
      </c>
      <c r="T7">
        <v>18.648</v>
      </c>
    </row>
    <row r="8" spans="1:27" x14ac:dyDescent="0.2">
      <c r="N8">
        <v>14.21</v>
      </c>
      <c r="O8">
        <v>0.69299999999999995</v>
      </c>
      <c r="R8">
        <v>127050</v>
      </c>
      <c r="T8">
        <v>19.236000000000001</v>
      </c>
    </row>
    <row r="9" spans="1:27" x14ac:dyDescent="0.2">
      <c r="N9">
        <v>13.78</v>
      </c>
      <c r="O9">
        <v>0.67700000000000005</v>
      </c>
      <c r="R9">
        <v>123957</v>
      </c>
      <c r="T9">
        <v>18.766999999999999</v>
      </c>
    </row>
    <row r="10" spans="1:27" x14ac:dyDescent="0.2">
      <c r="N10">
        <v>14.41</v>
      </c>
      <c r="O10">
        <v>0.56499999999999995</v>
      </c>
      <c r="R10">
        <v>129375</v>
      </c>
      <c r="T10">
        <v>15.47</v>
      </c>
    </row>
    <row r="11" spans="1:27" x14ac:dyDescent="0.2">
      <c r="N11">
        <v>14.61</v>
      </c>
      <c r="O11">
        <v>0.57999999999999996</v>
      </c>
      <c r="R11">
        <v>130705.4</v>
      </c>
      <c r="T11">
        <v>15.911</v>
      </c>
    </row>
    <row r="12" spans="1:27" x14ac:dyDescent="0.2">
      <c r="N12">
        <v>14.81</v>
      </c>
      <c r="O12">
        <v>0.57099999999999995</v>
      </c>
      <c r="R12">
        <v>131787.1</v>
      </c>
      <c r="T12">
        <v>15.645</v>
      </c>
    </row>
    <row r="13" spans="1:27" x14ac:dyDescent="0.2">
      <c r="N13">
        <v>15.01</v>
      </c>
      <c r="O13">
        <v>0.57999999999999996</v>
      </c>
      <c r="R13">
        <v>132868.9</v>
      </c>
      <c r="T13">
        <v>15.903</v>
      </c>
    </row>
    <row r="14" spans="1:27" x14ac:dyDescent="0.2">
      <c r="N14">
        <v>15.21</v>
      </c>
      <c r="O14">
        <v>0.60899999999999999</v>
      </c>
      <c r="R14">
        <v>133950.6</v>
      </c>
      <c r="T14">
        <v>16.77</v>
      </c>
    </row>
    <row r="15" spans="1:27" x14ac:dyDescent="0.2">
      <c r="N15">
        <v>15.31</v>
      </c>
      <c r="O15">
        <v>0.56299999999999994</v>
      </c>
      <c r="R15">
        <v>134491.5</v>
      </c>
      <c r="T15">
        <v>15.417</v>
      </c>
    </row>
    <row r="16" spans="1:27" x14ac:dyDescent="0.2">
      <c r="N16">
        <v>15.51</v>
      </c>
      <c r="O16">
        <v>0.495</v>
      </c>
      <c r="R16">
        <v>135573.20000000001</v>
      </c>
      <c r="T16">
        <v>13.406000000000001</v>
      </c>
    </row>
    <row r="17" spans="14:20" x14ac:dyDescent="0.2">
      <c r="N17">
        <v>15.71</v>
      </c>
      <c r="O17">
        <v>0.501</v>
      </c>
      <c r="R17">
        <v>136655</v>
      </c>
      <c r="T17">
        <v>13.595000000000001</v>
      </c>
    </row>
    <row r="18" spans="14:20" x14ac:dyDescent="0.2">
      <c r="N18">
        <v>15.91</v>
      </c>
      <c r="O18">
        <v>0.49099999999999999</v>
      </c>
      <c r="R18">
        <v>137736.70000000001</v>
      </c>
      <c r="T18">
        <v>13.294</v>
      </c>
    </row>
    <row r="19" spans="14:20" x14ac:dyDescent="0.2">
      <c r="N19">
        <v>16.11</v>
      </c>
      <c r="O19">
        <v>0.46400000000000002</v>
      </c>
      <c r="R19">
        <v>138818.4</v>
      </c>
      <c r="T19">
        <v>12.509</v>
      </c>
    </row>
    <row r="20" spans="14:20" x14ac:dyDescent="0.2">
      <c r="N20">
        <v>16.309999999999999</v>
      </c>
      <c r="O20">
        <v>0.47099999999999997</v>
      </c>
      <c r="R20">
        <v>139900.20000000001</v>
      </c>
      <c r="T20">
        <v>12.7</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700-000000000000}"/>
  </hyperlinks>
  <pageMargins left="0.75" right="0.75" top="1" bottom="1" header="0.5" footer="0.5"/>
  <pageSetup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00"/>
  <sheetViews>
    <sheetView zoomScale="83" zoomScaleNormal="66" workbookViewId="0">
      <selection activeCell="V2" sqref="V2"/>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44</v>
      </c>
      <c r="B2" s="6">
        <v>-78.73</v>
      </c>
      <c r="C2" s="6">
        <v>12.75</v>
      </c>
      <c r="D2" s="4" t="s">
        <v>199</v>
      </c>
      <c r="E2" s="2"/>
      <c r="F2" s="2"/>
      <c r="G2" s="2"/>
      <c r="M2">
        <v>-1.7</v>
      </c>
      <c r="N2">
        <v>481</v>
      </c>
      <c r="O2">
        <v>3.722</v>
      </c>
      <c r="R2">
        <v>115880</v>
      </c>
      <c r="T2">
        <v>27.1</v>
      </c>
      <c r="V2" s="2" t="s">
        <v>46</v>
      </c>
      <c r="W2" s="7" t="s">
        <v>205</v>
      </c>
      <c r="Y2" s="2" t="s">
        <v>206</v>
      </c>
      <c r="Z2">
        <v>-2827</v>
      </c>
    </row>
    <row r="3" spans="1:27" x14ac:dyDescent="0.2">
      <c r="E3" s="2"/>
      <c r="F3" s="2"/>
      <c r="G3" s="2"/>
      <c r="M3">
        <v>-1.85</v>
      </c>
      <c r="N3">
        <v>488</v>
      </c>
      <c r="O3">
        <v>3.931</v>
      </c>
      <c r="R3">
        <v>117590</v>
      </c>
      <c r="T3">
        <v>27.7</v>
      </c>
    </row>
    <row r="4" spans="1:27" x14ac:dyDescent="0.2">
      <c r="E4" s="2"/>
      <c r="F4" s="2"/>
      <c r="G4" s="2"/>
      <c r="M4">
        <v>-1.96</v>
      </c>
      <c r="N4">
        <v>493</v>
      </c>
      <c r="O4">
        <v>3.746</v>
      </c>
      <c r="R4">
        <v>118820</v>
      </c>
      <c r="T4">
        <v>27.1</v>
      </c>
    </row>
    <row r="5" spans="1:27" x14ac:dyDescent="0.2">
      <c r="E5" s="2"/>
      <c r="F5" s="2"/>
      <c r="G5" s="2"/>
      <c r="M5">
        <v>-1.88</v>
      </c>
      <c r="N5">
        <v>498</v>
      </c>
      <c r="O5">
        <v>4.0529999999999999</v>
      </c>
      <c r="R5">
        <v>120040</v>
      </c>
      <c r="T5">
        <v>28</v>
      </c>
    </row>
    <row r="6" spans="1:27" x14ac:dyDescent="0.2">
      <c r="M6">
        <v>-1.74</v>
      </c>
      <c r="N6">
        <v>503</v>
      </c>
      <c r="O6">
        <v>4.1070000000000002</v>
      </c>
      <c r="R6">
        <v>121440</v>
      </c>
      <c r="T6">
        <v>28.2</v>
      </c>
    </row>
    <row r="7" spans="1:27" x14ac:dyDescent="0.2">
      <c r="M7">
        <v>-2.0699999999999998</v>
      </c>
      <c r="N7">
        <v>506</v>
      </c>
      <c r="O7">
        <v>4.4530000000000003</v>
      </c>
      <c r="R7">
        <v>123890</v>
      </c>
      <c r="T7">
        <v>29.1</v>
      </c>
    </row>
    <row r="8" spans="1:27" x14ac:dyDescent="0.2">
      <c r="M8">
        <v>-1.83</v>
      </c>
      <c r="N8">
        <v>511</v>
      </c>
      <c r="O8">
        <v>4.3109999999999999</v>
      </c>
      <c r="R8">
        <v>126100</v>
      </c>
      <c r="T8">
        <v>28.7</v>
      </c>
    </row>
    <row r="9" spans="1:27" x14ac:dyDescent="0.2">
      <c r="M9">
        <v>-1.68</v>
      </c>
      <c r="N9">
        <v>517</v>
      </c>
      <c r="O9">
        <v>4.6550000000000002</v>
      </c>
      <c r="R9">
        <v>128600</v>
      </c>
      <c r="T9">
        <v>29.5</v>
      </c>
    </row>
    <row r="10" spans="1:27" x14ac:dyDescent="0.2">
      <c r="M10">
        <v>-1.76</v>
      </c>
      <c r="N10">
        <v>522</v>
      </c>
      <c r="O10">
        <v>4.516</v>
      </c>
      <c r="R10">
        <v>130750</v>
      </c>
      <c r="T10">
        <v>29.2</v>
      </c>
    </row>
    <row r="11" spans="1:27" x14ac:dyDescent="0.2">
      <c r="M11">
        <v>-1.51</v>
      </c>
      <c r="N11">
        <v>526</v>
      </c>
      <c r="O11">
        <v>4.26</v>
      </c>
      <c r="R11">
        <v>131800</v>
      </c>
      <c r="T11">
        <v>28.6</v>
      </c>
    </row>
    <row r="12" spans="1:27" x14ac:dyDescent="0.2">
      <c r="M12">
        <v>-0.89</v>
      </c>
      <c r="N12">
        <v>531</v>
      </c>
      <c r="O12">
        <v>3.88</v>
      </c>
      <c r="R12">
        <v>132800</v>
      </c>
      <c r="T12">
        <v>27.5</v>
      </c>
    </row>
    <row r="13" spans="1:27" x14ac:dyDescent="0.2">
      <c r="M13">
        <v>-0.55000000000000004</v>
      </c>
      <c r="N13">
        <v>537</v>
      </c>
      <c r="O13">
        <v>4.01</v>
      </c>
      <c r="R13">
        <v>133200</v>
      </c>
      <c r="T13">
        <v>27.9</v>
      </c>
    </row>
    <row r="14" spans="1:27" x14ac:dyDescent="0.2">
      <c r="M14">
        <v>-0.54</v>
      </c>
      <c r="N14">
        <v>542</v>
      </c>
      <c r="O14">
        <v>3.81</v>
      </c>
      <c r="R14">
        <v>135100</v>
      </c>
      <c r="T14">
        <v>27.3</v>
      </c>
    </row>
    <row r="15" spans="1:27" x14ac:dyDescent="0.2">
      <c r="M15">
        <v>-0.24</v>
      </c>
      <c r="N15">
        <v>547</v>
      </c>
      <c r="O15">
        <v>3.32</v>
      </c>
      <c r="R15">
        <v>135900</v>
      </c>
      <c r="T15">
        <v>25.8</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800-000000000000}"/>
  </hyperlinks>
  <pageMargins left="0.75" right="0.75" top="1" bottom="1" header="0.5" footer="0.5"/>
  <pageSetup orientation="portrait" horizontalDpi="4294967292" verticalDpi="42949672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200"/>
  <sheetViews>
    <sheetView topLeftCell="C1" zoomScale="108" zoomScaleNormal="66" workbookViewId="0">
      <selection activeCell="U11" sqref="U1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47</v>
      </c>
      <c r="B2" s="6">
        <v>179.3</v>
      </c>
      <c r="C2" s="6">
        <v>-44.32</v>
      </c>
      <c r="D2" s="20" t="s">
        <v>28</v>
      </c>
      <c r="E2" s="2"/>
      <c r="F2" s="2"/>
      <c r="G2" s="2"/>
      <c r="N2" s="19">
        <v>246</v>
      </c>
      <c r="O2" s="15">
        <v>0.52409759128531497</v>
      </c>
      <c r="R2" s="18">
        <v>115857.5</v>
      </c>
      <c r="S2" s="2">
        <v>12.267576214273969</v>
      </c>
      <c r="T2">
        <v>14.267576214273969</v>
      </c>
      <c r="U2" s="2">
        <v>16.267576214273969</v>
      </c>
      <c r="V2" s="2" t="s">
        <v>49</v>
      </c>
      <c r="W2" s="7" t="s">
        <v>207</v>
      </c>
      <c r="Y2" s="2" t="s">
        <v>208</v>
      </c>
      <c r="Z2">
        <v>-1300</v>
      </c>
      <c r="AA2" s="2" t="s">
        <v>209</v>
      </c>
    </row>
    <row r="3" spans="1:27" x14ac:dyDescent="0.2">
      <c r="E3" s="2"/>
      <c r="F3" s="2"/>
      <c r="G3" s="2"/>
      <c r="N3" s="19">
        <v>266</v>
      </c>
      <c r="O3" s="15">
        <v>0.48571653847921031</v>
      </c>
      <c r="R3" s="18">
        <v>129840</v>
      </c>
      <c r="S3" s="2">
        <v>11.13872171997677</v>
      </c>
      <c r="T3">
        <v>13.13872171997677</v>
      </c>
      <c r="U3" s="2">
        <v>15.13872171997677</v>
      </c>
    </row>
    <row r="4" spans="1:27" x14ac:dyDescent="0.2">
      <c r="E4" s="2"/>
      <c r="F4" s="2"/>
      <c r="G4" s="2"/>
    </row>
    <row r="5" spans="1:27" x14ac:dyDescent="0.2">
      <c r="E5" s="2"/>
      <c r="F5" s="2"/>
      <c r="G5" s="2"/>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900-000000000000}"/>
  </hyperlinks>
  <pageMargins left="0.75" right="0.75" top="1" bottom="1" header="0.5" footer="0.5"/>
  <pageSetup orientation="portrait" horizontalDpi="4294967292" verticalDpi="429496729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50</v>
      </c>
      <c r="B2" s="6">
        <v>160.22999999999999</v>
      </c>
      <c r="C2" s="6">
        <v>-56.67</v>
      </c>
      <c r="D2" s="4" t="s">
        <v>210</v>
      </c>
      <c r="E2" s="2"/>
      <c r="F2" s="2"/>
      <c r="G2" s="2"/>
      <c r="L2">
        <v>396</v>
      </c>
      <c r="M2">
        <v>3.81</v>
      </c>
      <c r="N2">
        <v>402</v>
      </c>
      <c r="O2" s="15"/>
      <c r="Q2" s="1"/>
      <c r="R2">
        <v>115910</v>
      </c>
      <c r="T2">
        <v>5.46</v>
      </c>
      <c r="V2" s="2" t="s">
        <v>52</v>
      </c>
      <c r="W2" s="7" t="s">
        <v>211</v>
      </c>
      <c r="Y2" s="2" t="s">
        <v>212</v>
      </c>
      <c r="Z2">
        <v>-3912</v>
      </c>
      <c r="AA2" t="s">
        <v>209</v>
      </c>
    </row>
    <row r="3" spans="1:27" x14ac:dyDescent="0.2">
      <c r="E3" s="2"/>
      <c r="F3" s="2"/>
      <c r="G3" s="2"/>
      <c r="L3">
        <v>401</v>
      </c>
      <c r="M3">
        <v>2.9</v>
      </c>
      <c r="N3">
        <v>406</v>
      </c>
      <c r="O3" s="15"/>
      <c r="Q3" s="1"/>
      <c r="R3">
        <v>116470</v>
      </c>
      <c r="T3">
        <v>5.03</v>
      </c>
    </row>
    <row r="4" spans="1:27" x14ac:dyDescent="0.2">
      <c r="E4" s="2"/>
      <c r="F4" s="2"/>
      <c r="G4" s="2"/>
      <c r="L4">
        <v>406</v>
      </c>
      <c r="M4">
        <v>3.06</v>
      </c>
      <c r="N4">
        <v>410</v>
      </c>
      <c r="Q4" s="1"/>
      <c r="R4">
        <v>117040</v>
      </c>
      <c r="T4">
        <v>5.7</v>
      </c>
    </row>
    <row r="5" spans="1:27" x14ac:dyDescent="0.2">
      <c r="E5" s="2"/>
      <c r="F5" s="2"/>
      <c r="G5" s="2"/>
      <c r="L5">
        <v>411</v>
      </c>
      <c r="M5">
        <v>2.75</v>
      </c>
      <c r="N5">
        <v>414</v>
      </c>
      <c r="Q5" s="1"/>
      <c r="R5">
        <v>117610</v>
      </c>
      <c r="T5">
        <v>5.24</v>
      </c>
    </row>
    <row r="6" spans="1:27" x14ac:dyDescent="0.2">
      <c r="L6">
        <v>416</v>
      </c>
      <c r="M6">
        <v>2.62</v>
      </c>
      <c r="N6">
        <v>420</v>
      </c>
      <c r="Q6" s="1"/>
      <c r="R6">
        <v>118460</v>
      </c>
      <c r="T6">
        <v>5.01</v>
      </c>
    </row>
    <row r="7" spans="1:27" x14ac:dyDescent="0.2">
      <c r="L7">
        <v>421</v>
      </c>
      <c r="M7">
        <v>2.65</v>
      </c>
      <c r="N7">
        <v>424</v>
      </c>
      <c r="Q7" s="1"/>
      <c r="R7">
        <v>119030</v>
      </c>
      <c r="T7">
        <v>5.13</v>
      </c>
    </row>
    <row r="8" spans="1:27" x14ac:dyDescent="0.2">
      <c r="L8">
        <v>426</v>
      </c>
      <c r="M8">
        <v>2.69</v>
      </c>
      <c r="N8">
        <v>430</v>
      </c>
      <c r="Q8" s="1"/>
      <c r="R8">
        <v>119880</v>
      </c>
      <c r="T8">
        <v>5.55</v>
      </c>
    </row>
    <row r="9" spans="1:27" x14ac:dyDescent="0.2">
      <c r="L9">
        <v>431</v>
      </c>
      <c r="M9">
        <v>2.66</v>
      </c>
      <c r="N9">
        <v>434</v>
      </c>
      <c r="Q9" s="1"/>
      <c r="R9">
        <v>120450</v>
      </c>
      <c r="T9">
        <v>5.17</v>
      </c>
    </row>
    <row r="10" spans="1:27" x14ac:dyDescent="0.2">
      <c r="L10">
        <v>436</v>
      </c>
      <c r="M10">
        <v>2.77</v>
      </c>
      <c r="N10">
        <v>440</v>
      </c>
      <c r="Q10" s="1"/>
      <c r="R10">
        <v>121310</v>
      </c>
      <c r="T10">
        <v>4.87</v>
      </c>
    </row>
    <row r="11" spans="1:27" x14ac:dyDescent="0.2">
      <c r="L11">
        <v>441</v>
      </c>
      <c r="M11">
        <v>2.66</v>
      </c>
      <c r="N11">
        <v>444</v>
      </c>
      <c r="Q11" s="1"/>
      <c r="R11">
        <v>121870</v>
      </c>
      <c r="T11">
        <v>5.24</v>
      </c>
    </row>
    <row r="12" spans="1:27" x14ac:dyDescent="0.2">
      <c r="L12">
        <v>446</v>
      </c>
      <c r="M12">
        <v>2.81</v>
      </c>
      <c r="N12">
        <v>450</v>
      </c>
      <c r="Q12" s="1"/>
      <c r="R12">
        <v>122730</v>
      </c>
      <c r="T12">
        <v>4.9800000000000004</v>
      </c>
    </row>
    <row r="13" spans="1:27" x14ac:dyDescent="0.2">
      <c r="L13">
        <v>451</v>
      </c>
      <c r="M13">
        <v>2.77</v>
      </c>
      <c r="N13">
        <v>454</v>
      </c>
      <c r="Q13" s="1"/>
      <c r="R13">
        <v>123290</v>
      </c>
      <c r="T13">
        <v>4.4000000000000004</v>
      </c>
    </row>
    <row r="14" spans="1:27" x14ac:dyDescent="0.2">
      <c r="L14">
        <v>456</v>
      </c>
      <c r="M14">
        <v>2.84</v>
      </c>
      <c r="N14">
        <v>460</v>
      </c>
      <c r="Q14" s="1"/>
      <c r="R14">
        <v>124150</v>
      </c>
      <c r="T14">
        <v>4.25</v>
      </c>
    </row>
    <row r="15" spans="1:27" x14ac:dyDescent="0.2">
      <c r="L15">
        <v>461</v>
      </c>
      <c r="M15">
        <v>2.81</v>
      </c>
      <c r="N15">
        <v>464</v>
      </c>
      <c r="Q15" s="1"/>
      <c r="R15">
        <v>124720</v>
      </c>
      <c r="T15">
        <v>6.07</v>
      </c>
    </row>
    <row r="16" spans="1:27" x14ac:dyDescent="0.2">
      <c r="L16">
        <v>466</v>
      </c>
      <c r="M16">
        <v>2.87</v>
      </c>
      <c r="N16">
        <v>470</v>
      </c>
      <c r="Q16" s="1"/>
      <c r="R16">
        <v>126180</v>
      </c>
      <c r="T16">
        <v>5.36</v>
      </c>
    </row>
    <row r="17" spans="12:20" x14ac:dyDescent="0.2">
      <c r="L17">
        <v>471</v>
      </c>
      <c r="M17">
        <v>3.13</v>
      </c>
      <c r="N17">
        <v>474</v>
      </c>
      <c r="Q17" s="1"/>
      <c r="R17">
        <v>127360</v>
      </c>
      <c r="T17">
        <v>5.84</v>
      </c>
    </row>
    <row r="18" spans="12:20" x14ac:dyDescent="0.2">
      <c r="L18">
        <v>476</v>
      </c>
      <c r="M18">
        <v>3.19</v>
      </c>
      <c r="N18">
        <v>480</v>
      </c>
      <c r="Q18" s="1"/>
      <c r="R18">
        <v>129140</v>
      </c>
      <c r="T18">
        <v>5.81</v>
      </c>
    </row>
    <row r="19" spans="12:20" x14ac:dyDescent="0.2">
      <c r="L19">
        <v>481</v>
      </c>
      <c r="M19">
        <v>3.72</v>
      </c>
      <c r="N19">
        <v>484</v>
      </c>
      <c r="Q19" s="1"/>
      <c r="R19">
        <v>130320</v>
      </c>
      <c r="T19">
        <v>3.84</v>
      </c>
    </row>
    <row r="20" spans="12:20" x14ac:dyDescent="0.2">
      <c r="L20">
        <v>486</v>
      </c>
      <c r="N20">
        <v>490</v>
      </c>
      <c r="Q20" s="1"/>
      <c r="R20">
        <v>132090</v>
      </c>
      <c r="T20">
        <v>3.34</v>
      </c>
    </row>
    <row r="21" spans="12:20" x14ac:dyDescent="0.2">
      <c r="L21">
        <v>486</v>
      </c>
      <c r="M21">
        <v>4.1399999999999997</v>
      </c>
      <c r="N21">
        <v>494</v>
      </c>
      <c r="Q21" s="1"/>
      <c r="R21">
        <v>133270</v>
      </c>
      <c r="T21">
        <v>2.78</v>
      </c>
    </row>
    <row r="22" spans="12:20" x14ac:dyDescent="0.2">
      <c r="L22">
        <v>496</v>
      </c>
      <c r="M22">
        <v>4.33</v>
      </c>
      <c r="N22">
        <v>500</v>
      </c>
      <c r="Q22" s="1"/>
      <c r="R22">
        <v>135040</v>
      </c>
      <c r="T22">
        <v>3.62</v>
      </c>
    </row>
    <row r="23" spans="12:20" x14ac:dyDescent="0.2">
      <c r="L23">
        <v>501</v>
      </c>
      <c r="M23">
        <v>4.5199999999999996</v>
      </c>
      <c r="N23">
        <v>504</v>
      </c>
      <c r="Q23" s="1"/>
      <c r="R23">
        <v>138930</v>
      </c>
      <c r="T23">
        <v>1.76</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A00-000000000000}"/>
  </hyperlinks>
  <pageMargins left="0.75" right="0.75" top="1" bottom="1" header="0.5" footer="0.5"/>
  <pageSetup orientation="portrait" horizontalDpi="4294967292" verticalDpi="429496729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53</v>
      </c>
      <c r="B2" s="6">
        <v>-87.118889999999993</v>
      </c>
      <c r="C2" s="6">
        <v>29.001670000000001</v>
      </c>
      <c r="D2" s="4" t="s">
        <v>199</v>
      </c>
      <c r="E2" s="2"/>
      <c r="F2" s="2"/>
      <c r="G2" s="2"/>
      <c r="L2">
        <v>1405</v>
      </c>
      <c r="M2">
        <v>-0.747</v>
      </c>
      <c r="N2">
        <v>1405</v>
      </c>
      <c r="O2">
        <v>4.266</v>
      </c>
      <c r="P2">
        <v>26.87</v>
      </c>
      <c r="R2">
        <v>114000</v>
      </c>
      <c r="T2">
        <v>26.87</v>
      </c>
      <c r="V2" s="2" t="s">
        <v>55</v>
      </c>
      <c r="W2" s="7" t="s">
        <v>213</v>
      </c>
      <c r="Y2" s="2" t="s">
        <v>214</v>
      </c>
      <c r="Z2">
        <v>-847</v>
      </c>
    </row>
    <row r="3" spans="1:27" x14ac:dyDescent="0.2">
      <c r="E3" s="2"/>
      <c r="F3" s="2"/>
      <c r="G3" s="2"/>
      <c r="L3">
        <v>1410</v>
      </c>
      <c r="M3">
        <v>-0.46899999999999997</v>
      </c>
      <c r="N3">
        <v>1410</v>
      </c>
      <c r="O3">
        <v>4.1079999999999997</v>
      </c>
      <c r="P3">
        <v>26.45</v>
      </c>
      <c r="R3">
        <v>115667</v>
      </c>
      <c r="T3">
        <v>26.45</v>
      </c>
    </row>
    <row r="4" spans="1:27" x14ac:dyDescent="0.2">
      <c r="E4" s="2"/>
      <c r="F4" s="2"/>
      <c r="G4" s="2"/>
      <c r="L4">
        <v>1415</v>
      </c>
      <c r="M4">
        <v>-1.6140000000000001</v>
      </c>
      <c r="N4">
        <v>1415</v>
      </c>
      <c r="O4">
        <v>4.3970000000000002</v>
      </c>
      <c r="P4">
        <v>27.21</v>
      </c>
      <c r="R4">
        <v>117333</v>
      </c>
      <c r="T4">
        <v>27.21</v>
      </c>
    </row>
    <row r="5" spans="1:27" x14ac:dyDescent="0.2">
      <c r="E5" s="2"/>
      <c r="F5" s="2"/>
      <c r="G5" s="2"/>
      <c r="L5">
        <v>1420</v>
      </c>
      <c r="M5">
        <v>-1.32</v>
      </c>
      <c r="N5">
        <v>1420</v>
      </c>
      <c r="O5">
        <v>4.1159999999999997</v>
      </c>
      <c r="P5">
        <v>26.47</v>
      </c>
      <c r="R5">
        <v>119000</v>
      </c>
      <c r="T5">
        <v>26.47</v>
      </c>
    </row>
    <row r="6" spans="1:27" x14ac:dyDescent="0.2">
      <c r="L6">
        <v>1425</v>
      </c>
      <c r="M6">
        <v>-1.474</v>
      </c>
      <c r="N6">
        <v>1425</v>
      </c>
      <c r="O6">
        <v>4.6749999999999998</v>
      </c>
      <c r="P6">
        <v>27.89</v>
      </c>
      <c r="R6">
        <v>119727</v>
      </c>
      <c r="T6">
        <v>27.89</v>
      </c>
    </row>
    <row r="7" spans="1:27" x14ac:dyDescent="0.2">
      <c r="L7">
        <v>1430</v>
      </c>
      <c r="M7">
        <v>-1.369</v>
      </c>
      <c r="N7">
        <v>1430</v>
      </c>
      <c r="O7">
        <v>5.19</v>
      </c>
      <c r="P7">
        <v>29.05</v>
      </c>
      <c r="R7">
        <v>120455</v>
      </c>
      <c r="T7">
        <v>29.05</v>
      </c>
    </row>
    <row r="8" spans="1:27" x14ac:dyDescent="0.2">
      <c r="L8">
        <v>1435</v>
      </c>
      <c r="M8">
        <v>-1.9259999999999999</v>
      </c>
      <c r="N8">
        <v>1435</v>
      </c>
      <c r="O8">
        <v>5.6</v>
      </c>
      <c r="P8">
        <v>29.89</v>
      </c>
      <c r="R8">
        <v>121182</v>
      </c>
      <c r="T8">
        <v>29.89</v>
      </c>
    </row>
    <row r="9" spans="1:27" x14ac:dyDescent="0.2">
      <c r="L9">
        <v>1440</v>
      </c>
      <c r="M9">
        <v>-1.6519999999999999</v>
      </c>
      <c r="N9">
        <v>1440</v>
      </c>
      <c r="O9">
        <v>5.0199999999999996</v>
      </c>
      <c r="P9">
        <v>28.68</v>
      </c>
      <c r="R9">
        <v>121909</v>
      </c>
      <c r="T9">
        <v>28.68</v>
      </c>
    </row>
    <row r="10" spans="1:27" x14ac:dyDescent="0.2">
      <c r="L10">
        <v>1445</v>
      </c>
      <c r="M10">
        <v>-1.6839999999999999</v>
      </c>
      <c r="N10">
        <v>1445</v>
      </c>
      <c r="O10">
        <v>5.09</v>
      </c>
      <c r="P10">
        <v>28.83</v>
      </c>
      <c r="R10">
        <v>122636</v>
      </c>
      <c r="T10">
        <v>28.83</v>
      </c>
    </row>
    <row r="11" spans="1:27" x14ac:dyDescent="0.2">
      <c r="L11">
        <v>1450</v>
      </c>
      <c r="M11">
        <v>-1.6379999999999999</v>
      </c>
      <c r="N11">
        <v>1450</v>
      </c>
      <c r="O11">
        <v>4.9690000000000003</v>
      </c>
      <c r="P11">
        <v>28.56</v>
      </c>
      <c r="R11">
        <v>123364</v>
      </c>
      <c r="T11">
        <v>28.56</v>
      </c>
    </row>
    <row r="12" spans="1:27" x14ac:dyDescent="0.2">
      <c r="L12">
        <v>1455</v>
      </c>
      <c r="M12">
        <v>-1.5389999999999999</v>
      </c>
      <c r="N12">
        <v>1455</v>
      </c>
      <c r="O12">
        <v>4.8129999999999997</v>
      </c>
      <c r="P12">
        <v>28.21</v>
      </c>
      <c r="R12">
        <v>124091</v>
      </c>
      <c r="T12">
        <v>28.21</v>
      </c>
    </row>
    <row r="13" spans="1:27" x14ac:dyDescent="0.2">
      <c r="L13">
        <v>1460</v>
      </c>
      <c r="M13">
        <v>-1.8069999999999999</v>
      </c>
      <c r="N13">
        <v>1460</v>
      </c>
      <c r="O13">
        <v>4.9340000000000002</v>
      </c>
      <c r="P13">
        <v>28.49</v>
      </c>
      <c r="R13">
        <v>124818</v>
      </c>
      <c r="T13">
        <v>28.49</v>
      </c>
    </row>
    <row r="14" spans="1:27" x14ac:dyDescent="0.2">
      <c r="L14">
        <v>1465</v>
      </c>
      <c r="M14">
        <v>-1.9419999999999999</v>
      </c>
      <c r="N14">
        <v>1465</v>
      </c>
      <c r="O14">
        <v>4.9379999999999997</v>
      </c>
      <c r="P14">
        <v>28.49</v>
      </c>
      <c r="R14">
        <v>125545</v>
      </c>
      <c r="T14">
        <v>28.49</v>
      </c>
    </row>
    <row r="15" spans="1:27" x14ac:dyDescent="0.2">
      <c r="L15">
        <v>1470</v>
      </c>
      <c r="M15">
        <v>-1.756</v>
      </c>
      <c r="N15">
        <v>1470</v>
      </c>
      <c r="O15">
        <v>4.593</v>
      </c>
      <c r="P15">
        <v>27.69</v>
      </c>
      <c r="R15">
        <v>126273</v>
      </c>
      <c r="T15">
        <v>27.69</v>
      </c>
    </row>
    <row r="16" spans="1:27" x14ac:dyDescent="0.2">
      <c r="L16">
        <v>1475</v>
      </c>
      <c r="M16">
        <v>-1.8380000000000001</v>
      </c>
      <c r="N16">
        <v>1475</v>
      </c>
      <c r="O16">
        <v>4.2990000000000004</v>
      </c>
      <c r="P16">
        <v>26.96</v>
      </c>
      <c r="R16">
        <v>127000</v>
      </c>
      <c r="T16">
        <v>26.96</v>
      </c>
    </row>
    <row r="17" spans="12:20" x14ac:dyDescent="0.2">
      <c r="L17">
        <v>1480</v>
      </c>
      <c r="M17">
        <v>-1.877</v>
      </c>
      <c r="N17">
        <v>1480</v>
      </c>
      <c r="O17">
        <v>4.59</v>
      </c>
      <c r="P17">
        <v>27.68</v>
      </c>
      <c r="R17">
        <v>127727</v>
      </c>
      <c r="T17">
        <v>27.68</v>
      </c>
    </row>
    <row r="18" spans="12:20" x14ac:dyDescent="0.2">
      <c r="L18">
        <v>1485</v>
      </c>
      <c r="M18">
        <v>-0.86399999999999999</v>
      </c>
      <c r="N18">
        <v>1485</v>
      </c>
      <c r="O18">
        <v>3.8570000000000002</v>
      </c>
      <c r="P18">
        <v>25.75</v>
      </c>
      <c r="R18">
        <v>128455</v>
      </c>
      <c r="T18">
        <v>25.75</v>
      </c>
    </row>
    <row r="19" spans="12:20" x14ac:dyDescent="0.2">
      <c r="L19">
        <v>1490</v>
      </c>
      <c r="M19">
        <v>-0.88800000000000001</v>
      </c>
      <c r="N19">
        <v>1490</v>
      </c>
      <c r="O19">
        <v>4.0220000000000002</v>
      </c>
      <c r="P19">
        <v>26.22</v>
      </c>
      <c r="R19">
        <v>129182</v>
      </c>
      <c r="T19">
        <v>26.22</v>
      </c>
    </row>
    <row r="20" spans="12:20" x14ac:dyDescent="0.2">
      <c r="L20">
        <v>1495</v>
      </c>
      <c r="M20">
        <v>-0.45900000000000002</v>
      </c>
      <c r="N20">
        <v>1495</v>
      </c>
      <c r="O20">
        <v>4.2169999999999996</v>
      </c>
      <c r="P20">
        <v>26.74</v>
      </c>
      <c r="R20">
        <v>129909</v>
      </c>
      <c r="T20">
        <v>26.74</v>
      </c>
    </row>
    <row r="21" spans="12:20" x14ac:dyDescent="0.2">
      <c r="L21">
        <v>1498</v>
      </c>
      <c r="M21">
        <v>-0.98</v>
      </c>
      <c r="N21">
        <v>1498</v>
      </c>
      <c r="O21">
        <v>4.0839999999999996</v>
      </c>
      <c r="P21">
        <v>26.39</v>
      </c>
      <c r="R21">
        <v>130345</v>
      </c>
      <c r="T21">
        <v>26.39</v>
      </c>
    </row>
    <row r="22" spans="12:20" x14ac:dyDescent="0.2">
      <c r="L22">
        <v>1502</v>
      </c>
      <c r="M22">
        <v>0.7</v>
      </c>
      <c r="N22">
        <v>1502</v>
      </c>
      <c r="O22">
        <v>4.2080000000000002</v>
      </c>
      <c r="P22">
        <v>26.72</v>
      </c>
      <c r="R22">
        <v>130927</v>
      </c>
      <c r="T22">
        <v>26.72</v>
      </c>
    </row>
    <row r="23" spans="12:20" x14ac:dyDescent="0.2">
      <c r="L23">
        <v>1505</v>
      </c>
      <c r="M23">
        <v>0.20599999999999999</v>
      </c>
      <c r="N23">
        <v>1505</v>
      </c>
      <c r="O23">
        <v>4.0910000000000002</v>
      </c>
      <c r="P23">
        <v>26.4</v>
      </c>
      <c r="R23">
        <v>131364</v>
      </c>
      <c r="T23">
        <v>26.4</v>
      </c>
    </row>
    <row r="24" spans="12:20" x14ac:dyDescent="0.2">
      <c r="L24">
        <v>1510</v>
      </c>
      <c r="M24">
        <v>0.70899999999999996</v>
      </c>
      <c r="N24">
        <v>1510</v>
      </c>
      <c r="O24">
        <v>3.875</v>
      </c>
      <c r="P24">
        <v>25.8</v>
      </c>
      <c r="R24">
        <v>132091</v>
      </c>
      <c r="T24">
        <v>25.8</v>
      </c>
    </row>
    <row r="25" spans="12:20" x14ac:dyDescent="0.2">
      <c r="L25">
        <v>1515</v>
      </c>
      <c r="M25">
        <v>0.53800000000000003</v>
      </c>
      <c r="N25">
        <v>1515</v>
      </c>
      <c r="O25">
        <v>3.59</v>
      </c>
      <c r="P25">
        <v>24.95</v>
      </c>
      <c r="R25">
        <v>132818</v>
      </c>
      <c r="T25">
        <v>24.95</v>
      </c>
    </row>
    <row r="26" spans="12:20" x14ac:dyDescent="0.2">
      <c r="L26">
        <v>1520</v>
      </c>
      <c r="M26">
        <v>-0.35799999999999998</v>
      </c>
      <c r="N26">
        <v>1520</v>
      </c>
      <c r="O26">
        <v>3.99</v>
      </c>
      <c r="P26">
        <v>26.13</v>
      </c>
      <c r="R26">
        <v>133545</v>
      </c>
      <c r="T26">
        <v>26.13</v>
      </c>
    </row>
    <row r="27" spans="12:20" x14ac:dyDescent="0.2">
      <c r="L27">
        <v>1525</v>
      </c>
      <c r="M27">
        <v>0.71699999999999997</v>
      </c>
      <c r="N27">
        <v>1525</v>
      </c>
      <c r="O27">
        <v>3.694</v>
      </c>
      <c r="P27">
        <v>25.27</v>
      </c>
      <c r="R27">
        <v>134273</v>
      </c>
      <c r="T27">
        <v>25.27</v>
      </c>
    </row>
    <row r="28" spans="12:20" x14ac:dyDescent="0.2">
      <c r="L28">
        <v>1530</v>
      </c>
      <c r="M28">
        <v>1.1879999999999999</v>
      </c>
      <c r="N28">
        <v>1530</v>
      </c>
      <c r="O28">
        <v>3.464</v>
      </c>
      <c r="P28">
        <v>24.56</v>
      </c>
      <c r="R28">
        <v>135000</v>
      </c>
      <c r="T28">
        <v>24.56</v>
      </c>
    </row>
    <row r="29" spans="12:20" x14ac:dyDescent="0.2">
      <c r="L29">
        <v>1535</v>
      </c>
      <c r="M29">
        <v>0.60499999999999998</v>
      </c>
      <c r="N29">
        <v>1535</v>
      </c>
      <c r="O29">
        <v>3.7050000000000001</v>
      </c>
      <c r="P29">
        <v>25.3</v>
      </c>
      <c r="R29">
        <v>135652</v>
      </c>
      <c r="T29">
        <v>25.3</v>
      </c>
    </row>
    <row r="30" spans="12:20" x14ac:dyDescent="0.2">
      <c r="L30">
        <v>1540</v>
      </c>
      <c r="M30">
        <v>0.311</v>
      </c>
      <c r="N30">
        <v>1540</v>
      </c>
      <c r="O30">
        <v>3.6320000000000001</v>
      </c>
      <c r="P30">
        <v>25.08</v>
      </c>
      <c r="R30">
        <v>136304</v>
      </c>
      <c r="T30">
        <v>25.08</v>
      </c>
    </row>
    <row r="31" spans="12:20" x14ac:dyDescent="0.2">
      <c r="L31">
        <v>1545</v>
      </c>
      <c r="M31">
        <v>0.85799999999999998</v>
      </c>
      <c r="N31">
        <v>1545</v>
      </c>
      <c r="O31">
        <v>3.6419999999999999</v>
      </c>
      <c r="P31">
        <v>25.11</v>
      </c>
      <c r="R31">
        <v>136957</v>
      </c>
      <c r="T31">
        <v>25.11</v>
      </c>
    </row>
    <row r="32" spans="12:20" x14ac:dyDescent="0.2">
      <c r="L32">
        <v>1550</v>
      </c>
      <c r="M32">
        <v>0.94399999999999995</v>
      </c>
      <c r="N32">
        <v>1550</v>
      </c>
      <c r="O32">
        <v>3.4729999999999999</v>
      </c>
      <c r="P32">
        <v>24.58</v>
      </c>
      <c r="R32">
        <v>137609</v>
      </c>
      <c r="T32">
        <v>24.58</v>
      </c>
    </row>
    <row r="33" spans="12:20" x14ac:dyDescent="0.2">
      <c r="L33">
        <v>1555</v>
      </c>
      <c r="M33">
        <v>0.92100000000000004</v>
      </c>
      <c r="N33">
        <v>1555</v>
      </c>
      <c r="O33">
        <v>3.649</v>
      </c>
      <c r="P33">
        <v>25.13</v>
      </c>
      <c r="R33">
        <v>138261</v>
      </c>
      <c r="T33">
        <v>25.13</v>
      </c>
    </row>
    <row r="34" spans="12:20" x14ac:dyDescent="0.2">
      <c r="L34">
        <v>1565</v>
      </c>
      <c r="M34">
        <v>0.64300000000000002</v>
      </c>
      <c r="N34">
        <v>1565</v>
      </c>
      <c r="O34">
        <v>3.8610000000000002</v>
      </c>
      <c r="P34">
        <v>25.76</v>
      </c>
      <c r="R34">
        <v>139565</v>
      </c>
      <c r="T34">
        <v>25.76</v>
      </c>
    </row>
    <row r="35" spans="12:20" x14ac:dyDescent="0.2">
      <c r="L35">
        <v>1570</v>
      </c>
      <c r="M35">
        <v>0.73199999999999998</v>
      </c>
      <c r="N35">
        <v>1570</v>
      </c>
      <c r="O35">
        <v>3.722</v>
      </c>
      <c r="P35">
        <v>25.35</v>
      </c>
      <c r="R35">
        <v>140217</v>
      </c>
      <c r="T35">
        <v>25.35</v>
      </c>
    </row>
    <row r="36" spans="12:20" x14ac:dyDescent="0.2">
      <c r="L36">
        <v>1575</v>
      </c>
      <c r="M36">
        <v>0.60299999999999998</v>
      </c>
      <c r="N36">
        <v>1575</v>
      </c>
      <c r="O36">
        <v>3.871</v>
      </c>
      <c r="P36">
        <v>25.79</v>
      </c>
      <c r="R36">
        <v>140870</v>
      </c>
      <c r="T36">
        <v>25.79</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B00-000000000000}"/>
  </hyperlinks>
  <pageMargins left="0.75" right="0.75" top="1" bottom="1" header="0.5" footer="0.5"/>
  <pageSetup orientation="portrait" horizontalDpi="4294967292" verticalDpi="4294967292"/>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200"/>
  <sheetViews>
    <sheetView topLeftCell="C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56</v>
      </c>
      <c r="B2" s="6">
        <v>-101.43</v>
      </c>
      <c r="C2" s="6">
        <v>3.2</v>
      </c>
      <c r="D2" s="4" t="s">
        <v>215</v>
      </c>
      <c r="E2" s="2"/>
      <c r="F2" s="2"/>
      <c r="G2" s="2"/>
      <c r="N2">
        <v>240</v>
      </c>
      <c r="Q2" s="1"/>
      <c r="R2">
        <v>115839</v>
      </c>
      <c r="T2">
        <v>19.8</v>
      </c>
      <c r="V2" s="2" t="s">
        <v>58</v>
      </c>
      <c r="W2" s="7" t="s">
        <v>216</v>
      </c>
      <c r="Z2">
        <v>-3120</v>
      </c>
    </row>
    <row r="3" spans="1:27" x14ac:dyDescent="0.2">
      <c r="E3" s="2"/>
      <c r="F3" s="2"/>
      <c r="G3" s="2"/>
      <c r="N3">
        <v>245</v>
      </c>
      <c r="Q3" s="1"/>
      <c r="R3">
        <v>118258</v>
      </c>
      <c r="T3">
        <v>19.87</v>
      </c>
    </row>
    <row r="4" spans="1:27" x14ac:dyDescent="0.2">
      <c r="E4" s="2"/>
      <c r="F4" s="2"/>
      <c r="G4" s="2"/>
      <c r="N4">
        <v>255</v>
      </c>
      <c r="Q4" s="1"/>
      <c r="R4">
        <v>121297</v>
      </c>
      <c r="T4">
        <v>20.52</v>
      </c>
    </row>
    <row r="5" spans="1:27" x14ac:dyDescent="0.2">
      <c r="E5" s="2"/>
      <c r="F5" s="2"/>
      <c r="G5" s="2"/>
      <c r="N5">
        <v>260</v>
      </c>
      <c r="Q5" s="1"/>
      <c r="R5">
        <v>122206</v>
      </c>
      <c r="T5">
        <v>19.670000000000002</v>
      </c>
    </row>
    <row r="6" spans="1:27" x14ac:dyDescent="0.2">
      <c r="N6">
        <v>265</v>
      </c>
      <c r="Q6" s="1"/>
      <c r="R6">
        <v>122987</v>
      </c>
      <c r="T6">
        <v>19.22</v>
      </c>
    </row>
    <row r="7" spans="1:27" x14ac:dyDescent="0.2">
      <c r="N7">
        <v>270</v>
      </c>
      <c r="Q7" s="1"/>
      <c r="R7">
        <v>124057</v>
      </c>
      <c r="T7">
        <v>20.09</v>
      </c>
    </row>
    <row r="8" spans="1:27" x14ac:dyDescent="0.2">
      <c r="N8">
        <v>285</v>
      </c>
      <c r="Q8" s="1"/>
      <c r="R8">
        <v>133885</v>
      </c>
      <c r="T8">
        <v>19.45</v>
      </c>
    </row>
    <row r="9" spans="1:27" x14ac:dyDescent="0.2">
      <c r="N9">
        <v>290</v>
      </c>
      <c r="Q9" s="1"/>
      <c r="R9">
        <v>137228</v>
      </c>
      <c r="T9">
        <v>16.489999999999998</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C00-000000000000}"/>
  </hyperlinks>
  <pageMargins left="0.75" right="0.75" top="1" bottom="1" header="0.5" footer="0.5"/>
  <pageSetup orientation="portrait" horizontalDpi="4294967292" verticalDpi="429496729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59</v>
      </c>
      <c r="B2" s="6">
        <v>-96.08</v>
      </c>
      <c r="C2" s="6">
        <v>0.1</v>
      </c>
      <c r="D2" s="4" t="s">
        <v>215</v>
      </c>
      <c r="E2" s="2"/>
      <c r="F2" s="2"/>
      <c r="G2" s="2"/>
      <c r="N2">
        <v>271</v>
      </c>
      <c r="R2">
        <v>117391</v>
      </c>
      <c r="T2">
        <v>24.61</v>
      </c>
      <c r="V2" s="2" t="s">
        <v>58</v>
      </c>
      <c r="W2" s="7" t="s">
        <v>217</v>
      </c>
      <c r="Z2">
        <v>-3231</v>
      </c>
    </row>
    <row r="3" spans="1:27" x14ac:dyDescent="0.2">
      <c r="E3" s="2"/>
      <c r="F3" s="2"/>
      <c r="G3" s="2"/>
      <c r="N3">
        <v>281</v>
      </c>
      <c r="R3">
        <v>120845</v>
      </c>
      <c r="T3">
        <v>26.34</v>
      </c>
    </row>
    <row r="4" spans="1:27" x14ac:dyDescent="0.2">
      <c r="E4" s="2"/>
      <c r="F4" s="2"/>
      <c r="G4" s="2"/>
      <c r="N4">
        <v>291</v>
      </c>
      <c r="R4">
        <v>124516</v>
      </c>
      <c r="T4">
        <v>24.23</v>
      </c>
    </row>
    <row r="5" spans="1:27" x14ac:dyDescent="0.2">
      <c r="E5" s="2"/>
      <c r="F5" s="2"/>
      <c r="G5" s="2"/>
      <c r="N5">
        <v>301</v>
      </c>
      <c r="R5">
        <v>128516</v>
      </c>
      <c r="T5">
        <v>23.84</v>
      </c>
    </row>
    <row r="6" spans="1:27" x14ac:dyDescent="0.2">
      <c r="N6">
        <v>311</v>
      </c>
      <c r="R6">
        <v>132373</v>
      </c>
      <c r="T6">
        <v>23.42</v>
      </c>
    </row>
    <row r="7" spans="1:27" x14ac:dyDescent="0.2">
      <c r="N7">
        <v>321</v>
      </c>
      <c r="R7">
        <v>136841</v>
      </c>
      <c r="T7">
        <v>21.31</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D00-000000000000}"/>
  </hyperlinks>
  <pageMargins left="0.75" right="0.75" top="1" bottom="1" header="0.5" footer="0.5"/>
  <pageSetup orientation="portrait" horizontalDpi="4294967292" verticalDpi="429496729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60</v>
      </c>
      <c r="B2" s="6">
        <v>-104.5</v>
      </c>
      <c r="C2" s="6">
        <v>-1.38</v>
      </c>
      <c r="D2" s="4" t="s">
        <v>215</v>
      </c>
      <c r="E2" s="2"/>
      <c r="F2" s="2"/>
      <c r="G2" s="2"/>
      <c r="N2">
        <v>195</v>
      </c>
      <c r="R2">
        <v>115432</v>
      </c>
      <c r="T2">
        <v>23.91</v>
      </c>
      <c r="V2" s="2" t="s">
        <v>58</v>
      </c>
      <c r="W2" s="7" t="s">
        <v>218</v>
      </c>
      <c r="Z2">
        <v>-3621</v>
      </c>
    </row>
    <row r="3" spans="1:27" x14ac:dyDescent="0.2">
      <c r="E3" s="2"/>
      <c r="F3" s="2"/>
      <c r="G3" s="2"/>
      <c r="N3">
        <v>205</v>
      </c>
      <c r="R3">
        <v>122109</v>
      </c>
      <c r="T3">
        <v>23.53</v>
      </c>
    </row>
    <row r="4" spans="1:27" x14ac:dyDescent="0.2">
      <c r="E4" s="2"/>
      <c r="F4" s="2"/>
      <c r="G4" s="2"/>
      <c r="N4">
        <v>210</v>
      </c>
      <c r="R4">
        <v>124773</v>
      </c>
      <c r="T4">
        <v>22.92</v>
      </c>
    </row>
    <row r="5" spans="1:27" x14ac:dyDescent="0.2">
      <c r="E5" s="2"/>
      <c r="F5" s="2"/>
      <c r="G5" s="2"/>
      <c r="N5">
        <v>215</v>
      </c>
      <c r="R5">
        <v>126515</v>
      </c>
      <c r="T5">
        <v>23.07</v>
      </c>
    </row>
    <row r="6" spans="1:27" x14ac:dyDescent="0.2">
      <c r="N6">
        <v>220</v>
      </c>
      <c r="R6">
        <v>128160</v>
      </c>
      <c r="T6">
        <v>22</v>
      </c>
    </row>
    <row r="7" spans="1:27" x14ac:dyDescent="0.2">
      <c r="N7">
        <v>225</v>
      </c>
      <c r="R7">
        <v>130350</v>
      </c>
      <c r="T7">
        <v>21.17</v>
      </c>
    </row>
    <row r="8" spans="1:27" x14ac:dyDescent="0.2">
      <c r="N8">
        <v>230</v>
      </c>
      <c r="R8">
        <v>135300</v>
      </c>
      <c r="T8">
        <v>22.93</v>
      </c>
    </row>
    <row r="9" spans="1:27" x14ac:dyDescent="0.2">
      <c r="N9">
        <v>235</v>
      </c>
      <c r="R9">
        <v>137850</v>
      </c>
      <c r="T9">
        <v>22.46</v>
      </c>
    </row>
    <row r="10" spans="1:27" x14ac:dyDescent="0.2">
      <c r="N10">
        <v>240</v>
      </c>
      <c r="R10">
        <v>140167</v>
      </c>
      <c r="T10">
        <v>22.98</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200"/>
  <sheetViews>
    <sheetView topLeftCell="R1" zoomScale="66" zoomScaleNormal="66" workbookViewId="0">
      <selection activeCell="V2" sqref="V2"/>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61</v>
      </c>
      <c r="B2" s="6">
        <v>-83.57</v>
      </c>
      <c r="C2" s="6">
        <v>-3.25</v>
      </c>
      <c r="D2" s="4" t="s">
        <v>215</v>
      </c>
      <c r="E2" s="2"/>
      <c r="F2" s="2"/>
      <c r="G2" s="2"/>
      <c r="N2" s="16">
        <v>800</v>
      </c>
      <c r="R2" s="16">
        <v>117389</v>
      </c>
      <c r="T2" s="16">
        <v>19.32</v>
      </c>
      <c r="V2" s="2" t="s">
        <v>58</v>
      </c>
      <c r="W2" s="7" t="s">
        <v>219</v>
      </c>
      <c r="Z2">
        <v>-3159</v>
      </c>
    </row>
    <row r="3" spans="1:27" x14ac:dyDescent="0.2">
      <c r="E3" s="2"/>
      <c r="F3" s="2"/>
      <c r="G3" s="2"/>
      <c r="N3" s="16">
        <v>810</v>
      </c>
      <c r="R3" s="16">
        <v>120380</v>
      </c>
      <c r="T3" s="16">
        <v>22.07</v>
      </c>
    </row>
    <row r="4" spans="1:27" x14ac:dyDescent="0.2">
      <c r="E4" s="2"/>
      <c r="F4" s="2"/>
      <c r="G4" s="2"/>
      <c r="N4" s="16">
        <v>820</v>
      </c>
      <c r="R4" s="16">
        <v>122927</v>
      </c>
      <c r="T4" s="16">
        <v>21.82</v>
      </c>
    </row>
    <row r="5" spans="1:27" x14ac:dyDescent="0.2">
      <c r="E5" s="2"/>
      <c r="F5" s="2"/>
      <c r="G5" s="2"/>
      <c r="N5" s="16">
        <v>830</v>
      </c>
      <c r="R5" s="16">
        <v>124422</v>
      </c>
      <c r="T5" s="16">
        <v>21.32</v>
      </c>
    </row>
    <row r="6" spans="1:27" x14ac:dyDescent="0.2">
      <c r="N6" s="16">
        <v>840</v>
      </c>
      <c r="R6" s="16">
        <v>125837</v>
      </c>
      <c r="T6" s="16">
        <v>20.16</v>
      </c>
    </row>
    <row r="7" spans="1:27" x14ac:dyDescent="0.2">
      <c r="N7" s="16">
        <v>850</v>
      </c>
      <c r="R7" s="16">
        <v>127453</v>
      </c>
      <c r="T7" s="16">
        <v>21.85</v>
      </c>
    </row>
    <row r="8" spans="1:27" x14ac:dyDescent="0.2">
      <c r="N8" s="16">
        <v>860</v>
      </c>
      <c r="R8" s="16">
        <v>129052</v>
      </c>
      <c r="T8" s="16">
        <v>21.54</v>
      </c>
    </row>
    <row r="9" spans="1:27" x14ac:dyDescent="0.2">
      <c r="N9" s="16">
        <v>870</v>
      </c>
      <c r="R9" s="16">
        <v>130593</v>
      </c>
      <c r="T9" s="16">
        <v>21.14</v>
      </c>
    </row>
    <row r="10" spans="1:27" x14ac:dyDescent="0.2">
      <c r="N10" s="16">
        <v>890</v>
      </c>
      <c r="R10" s="16">
        <v>133534</v>
      </c>
      <c r="T10" s="16">
        <v>18.54</v>
      </c>
    </row>
    <row r="11" spans="1:27" x14ac:dyDescent="0.2">
      <c r="N11" s="16">
        <v>920</v>
      </c>
      <c r="R11" s="16">
        <v>137546</v>
      </c>
      <c r="T11" s="16">
        <v>19.649999999999999</v>
      </c>
    </row>
    <row r="12" spans="1:27" x14ac:dyDescent="0.2">
      <c r="N12" s="16">
        <v>930</v>
      </c>
      <c r="R12" s="16">
        <v>138652</v>
      </c>
      <c r="T12" s="16">
        <v>18.47</v>
      </c>
    </row>
    <row r="13" spans="1:27" x14ac:dyDescent="0.2">
      <c r="N13" s="16">
        <v>940</v>
      </c>
      <c r="R13" s="16">
        <v>139721</v>
      </c>
      <c r="T13" s="16">
        <v>18.38</v>
      </c>
    </row>
    <row r="14" spans="1:27" x14ac:dyDescent="0.2">
      <c r="N14" s="16">
        <v>950</v>
      </c>
      <c r="R14" s="16">
        <v>140857</v>
      </c>
      <c r="T14" s="16">
        <v>17.98</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F00-000000000000}"/>
  </hyperlinks>
  <pageMargins left="0.75" right="0.75" top="1" bottom="1" header="0.5" footer="0.5"/>
  <pageSetup orientation="portrait" horizontalDpi="4294967292" verticalDpi="429496729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62</v>
      </c>
      <c r="B2" s="6">
        <v>-110.48</v>
      </c>
      <c r="C2" s="6">
        <v>0.03</v>
      </c>
      <c r="D2" s="4" t="s">
        <v>215</v>
      </c>
      <c r="E2" s="2"/>
      <c r="F2" s="2"/>
      <c r="G2" s="2"/>
      <c r="N2">
        <v>267</v>
      </c>
      <c r="R2">
        <v>116600</v>
      </c>
      <c r="T2">
        <v>23.62</v>
      </c>
      <c r="V2" s="2" t="s">
        <v>58</v>
      </c>
      <c r="W2" s="7" t="s">
        <v>220</v>
      </c>
      <c r="Z2">
        <v>-3791</v>
      </c>
    </row>
    <row r="3" spans="1:27" x14ac:dyDescent="0.2">
      <c r="E3" s="2"/>
      <c r="F3" s="2"/>
      <c r="G3" s="2"/>
      <c r="N3">
        <v>272</v>
      </c>
      <c r="R3">
        <v>119600</v>
      </c>
      <c r="T3">
        <v>23.65</v>
      </c>
    </row>
    <row r="4" spans="1:27" x14ac:dyDescent="0.2">
      <c r="E4" s="2"/>
      <c r="F4" s="2"/>
      <c r="G4" s="2"/>
      <c r="N4">
        <v>277</v>
      </c>
      <c r="R4">
        <v>122371</v>
      </c>
      <c r="T4">
        <v>24.44</v>
      </c>
    </row>
    <row r="5" spans="1:27" x14ac:dyDescent="0.2">
      <c r="E5" s="2"/>
      <c r="F5" s="2"/>
      <c r="G5" s="2"/>
      <c r="N5">
        <v>282</v>
      </c>
      <c r="R5">
        <v>124229</v>
      </c>
      <c r="T5">
        <v>23.45</v>
      </c>
    </row>
    <row r="6" spans="1:27" x14ac:dyDescent="0.2">
      <c r="N6">
        <v>287</v>
      </c>
      <c r="R6">
        <v>126086</v>
      </c>
      <c r="T6">
        <v>23.89</v>
      </c>
    </row>
    <row r="7" spans="1:27" x14ac:dyDescent="0.2">
      <c r="N7">
        <v>292</v>
      </c>
      <c r="R7">
        <v>127943</v>
      </c>
      <c r="T7">
        <v>23.62</v>
      </c>
    </row>
    <row r="8" spans="1:27" x14ac:dyDescent="0.2">
      <c r="N8">
        <v>297</v>
      </c>
      <c r="R8">
        <v>129800</v>
      </c>
      <c r="T8">
        <v>24.07</v>
      </c>
    </row>
    <row r="9" spans="1:27" x14ac:dyDescent="0.2">
      <c r="N9">
        <v>302</v>
      </c>
      <c r="R9">
        <v>131657</v>
      </c>
      <c r="T9">
        <v>22.93</v>
      </c>
    </row>
    <row r="10" spans="1:27" x14ac:dyDescent="0.2">
      <c r="N10">
        <v>307</v>
      </c>
      <c r="R10">
        <v>133514</v>
      </c>
      <c r="T10">
        <v>23.2</v>
      </c>
    </row>
    <row r="11" spans="1:27" x14ac:dyDescent="0.2">
      <c r="N11">
        <v>312</v>
      </c>
      <c r="R11">
        <v>135271</v>
      </c>
      <c r="T11">
        <v>22.93</v>
      </c>
    </row>
    <row r="12" spans="1:27" x14ac:dyDescent="0.2">
      <c r="N12">
        <v>317</v>
      </c>
      <c r="R12">
        <v>136627</v>
      </c>
      <c r="T12">
        <v>21.96</v>
      </c>
    </row>
    <row r="13" spans="1:27" x14ac:dyDescent="0.2">
      <c r="N13">
        <v>322</v>
      </c>
      <c r="R13">
        <v>137983</v>
      </c>
      <c r="T13">
        <v>24.77</v>
      </c>
    </row>
    <row r="14" spans="1:27" x14ac:dyDescent="0.2">
      <c r="N14">
        <v>327</v>
      </c>
      <c r="R14">
        <v>139339</v>
      </c>
      <c r="T14">
        <v>23.11</v>
      </c>
    </row>
    <row r="15" spans="1:27" x14ac:dyDescent="0.2">
      <c r="N15">
        <v>332</v>
      </c>
      <c r="R15">
        <v>140695</v>
      </c>
      <c r="T15">
        <v>21.99</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1000-000000000000}"/>
  </hyperlinks>
  <pageMargins left="0.75" right="0.75" top="1" bottom="1" header="0.5" footer="0.5"/>
  <pageSetup orientation="portrait" horizontalDpi="4294967292" verticalDpi="429496729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63</v>
      </c>
      <c r="B2" s="6">
        <v>-86.55</v>
      </c>
      <c r="C2" s="6">
        <v>2.98</v>
      </c>
      <c r="D2" s="4" t="s">
        <v>215</v>
      </c>
      <c r="E2" s="2"/>
      <c r="F2" s="2"/>
      <c r="G2" s="2"/>
      <c r="N2">
        <v>221</v>
      </c>
      <c r="R2">
        <v>119553</v>
      </c>
      <c r="T2">
        <v>24.19</v>
      </c>
      <c r="V2" s="2" t="s">
        <v>58</v>
      </c>
      <c r="W2" s="7" t="s">
        <v>221</v>
      </c>
      <c r="Z2">
        <v>-2870</v>
      </c>
    </row>
    <row r="3" spans="1:27" x14ac:dyDescent="0.2">
      <c r="E3" s="2"/>
      <c r="F3" s="2"/>
      <c r="G3" s="2"/>
      <c r="N3">
        <v>231</v>
      </c>
      <c r="R3">
        <v>122699</v>
      </c>
      <c r="T3">
        <v>23.7</v>
      </c>
    </row>
    <row r="4" spans="1:27" x14ac:dyDescent="0.2">
      <c r="E4" s="2"/>
      <c r="F4" s="2"/>
      <c r="G4" s="2"/>
      <c r="N4">
        <v>241</v>
      </c>
      <c r="R4">
        <v>126233</v>
      </c>
      <c r="T4">
        <v>24.13</v>
      </c>
    </row>
    <row r="5" spans="1:27" x14ac:dyDescent="0.2">
      <c r="E5" s="2"/>
      <c r="F5" s="2"/>
      <c r="G5" s="2"/>
      <c r="N5">
        <v>251</v>
      </c>
      <c r="R5">
        <v>129864</v>
      </c>
      <c r="T5">
        <v>25.21</v>
      </c>
    </row>
    <row r="6" spans="1:27" x14ac:dyDescent="0.2">
      <c r="N6">
        <v>262</v>
      </c>
      <c r="R6">
        <v>135330</v>
      </c>
      <c r="T6">
        <v>23.77</v>
      </c>
    </row>
    <row r="7" spans="1:27" x14ac:dyDescent="0.2">
      <c r="N7">
        <v>272</v>
      </c>
      <c r="R7">
        <v>139637</v>
      </c>
      <c r="T7">
        <v>23.2</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64</v>
      </c>
      <c r="B2" s="6">
        <v>-86.48</v>
      </c>
      <c r="C2" s="6">
        <v>0.1</v>
      </c>
      <c r="D2" s="4" t="s">
        <v>215</v>
      </c>
      <c r="E2" s="2"/>
      <c r="F2" s="2"/>
      <c r="G2" s="2"/>
      <c r="N2">
        <v>800</v>
      </c>
      <c r="R2">
        <v>116545</v>
      </c>
      <c r="T2">
        <v>22.37</v>
      </c>
      <c r="V2" s="2" t="s">
        <v>58</v>
      </c>
      <c r="W2" s="7" t="s">
        <v>222</v>
      </c>
      <c r="Z2">
        <v>-2740</v>
      </c>
    </row>
    <row r="3" spans="1:27" x14ac:dyDescent="0.2">
      <c r="E3" s="2"/>
      <c r="F3" s="2"/>
      <c r="G3" s="2"/>
      <c r="N3">
        <v>819</v>
      </c>
      <c r="R3">
        <v>121588</v>
      </c>
      <c r="T3">
        <v>22.47</v>
      </c>
    </row>
    <row r="4" spans="1:27" x14ac:dyDescent="0.2">
      <c r="E4" s="2"/>
      <c r="F4" s="2"/>
      <c r="G4" s="2"/>
      <c r="N4">
        <v>839</v>
      </c>
      <c r="R4">
        <v>125521</v>
      </c>
      <c r="T4">
        <v>22.58</v>
      </c>
    </row>
    <row r="5" spans="1:27" x14ac:dyDescent="0.2">
      <c r="E5" s="2"/>
      <c r="F5" s="2"/>
      <c r="G5" s="2"/>
      <c r="N5">
        <v>859</v>
      </c>
      <c r="R5">
        <v>129243</v>
      </c>
      <c r="T5">
        <v>22.34</v>
      </c>
    </row>
    <row r="6" spans="1:27" x14ac:dyDescent="0.2">
      <c r="N6">
        <v>919</v>
      </c>
      <c r="R6">
        <v>140317</v>
      </c>
      <c r="T6">
        <v>19.97</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65</v>
      </c>
      <c r="B2" s="6">
        <v>-85.25</v>
      </c>
      <c r="C2" s="6">
        <v>7.28</v>
      </c>
      <c r="D2" s="4" t="s">
        <v>215</v>
      </c>
      <c r="E2" s="2"/>
      <c r="F2" s="2"/>
      <c r="G2" s="2"/>
      <c r="N2">
        <v>370</v>
      </c>
      <c r="R2">
        <v>118765</v>
      </c>
      <c r="T2">
        <v>23.3</v>
      </c>
      <c r="V2" s="2" t="s">
        <v>58</v>
      </c>
      <c r="W2" s="7" t="s">
        <v>223</v>
      </c>
      <c r="Z2">
        <v>-2164</v>
      </c>
    </row>
    <row r="3" spans="1:27" x14ac:dyDescent="0.2">
      <c r="E3" s="2"/>
      <c r="F3" s="2"/>
      <c r="G3" s="2"/>
      <c r="N3">
        <v>380</v>
      </c>
      <c r="R3">
        <v>123622</v>
      </c>
      <c r="T3">
        <v>23.72</v>
      </c>
    </row>
    <row r="4" spans="1:27" x14ac:dyDescent="0.2">
      <c r="E4" s="2"/>
      <c r="F4" s="2"/>
      <c r="G4" s="2"/>
      <c r="N4">
        <v>390</v>
      </c>
      <c r="R4">
        <v>127567</v>
      </c>
      <c r="T4">
        <v>24.25</v>
      </c>
    </row>
    <row r="5" spans="1:27" x14ac:dyDescent="0.2">
      <c r="E5" s="2"/>
      <c r="F5" s="2"/>
      <c r="G5" s="2"/>
      <c r="N5">
        <v>400</v>
      </c>
      <c r="R5">
        <v>131287</v>
      </c>
      <c r="T5">
        <v>25.42</v>
      </c>
    </row>
    <row r="6" spans="1:27" x14ac:dyDescent="0.2">
      <c r="N6">
        <v>410</v>
      </c>
      <c r="R6">
        <v>135058</v>
      </c>
      <c r="T6">
        <v>24.15</v>
      </c>
    </row>
    <row r="7" spans="1:27" x14ac:dyDescent="0.2">
      <c r="N7">
        <v>420</v>
      </c>
      <c r="R7">
        <v>139001</v>
      </c>
      <c r="T7">
        <v>23.73</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66</v>
      </c>
      <c r="B2" s="6">
        <v>-106.95</v>
      </c>
      <c r="C2" s="6">
        <v>-6.63</v>
      </c>
      <c r="D2" s="4" t="s">
        <v>215</v>
      </c>
      <c r="E2" s="2"/>
      <c r="F2" s="2"/>
      <c r="G2" s="2"/>
      <c r="N2">
        <v>256</v>
      </c>
      <c r="R2">
        <v>117696</v>
      </c>
      <c r="T2">
        <v>22.99</v>
      </c>
      <c r="V2" s="2" t="s">
        <v>58</v>
      </c>
      <c r="W2" s="7" t="s">
        <v>224</v>
      </c>
      <c r="Z2">
        <v>-3175</v>
      </c>
    </row>
    <row r="3" spans="1:27" x14ac:dyDescent="0.2">
      <c r="E3" s="2"/>
      <c r="F3" s="2"/>
      <c r="G3" s="2"/>
      <c r="N3">
        <v>261</v>
      </c>
      <c r="R3">
        <v>120448</v>
      </c>
      <c r="T3">
        <v>23.93</v>
      </c>
    </row>
    <row r="4" spans="1:27" x14ac:dyDescent="0.2">
      <c r="E4" s="2"/>
      <c r="F4" s="2"/>
      <c r="G4" s="2"/>
      <c r="N4">
        <v>266</v>
      </c>
      <c r="R4">
        <v>122583</v>
      </c>
      <c r="T4">
        <v>23.19</v>
      </c>
    </row>
    <row r="5" spans="1:27" x14ac:dyDescent="0.2">
      <c r="E5" s="2"/>
      <c r="F5" s="2"/>
      <c r="G5" s="2"/>
      <c r="N5">
        <v>271</v>
      </c>
      <c r="R5">
        <v>124411</v>
      </c>
      <c r="T5">
        <v>22.54</v>
      </c>
    </row>
    <row r="6" spans="1:27" x14ac:dyDescent="0.2">
      <c r="N6">
        <v>276</v>
      </c>
      <c r="R6">
        <v>125935</v>
      </c>
      <c r="T6">
        <v>24.28</v>
      </c>
    </row>
    <row r="7" spans="1:27" x14ac:dyDescent="0.2">
      <c r="N7">
        <v>281</v>
      </c>
      <c r="R7">
        <v>127500</v>
      </c>
      <c r="T7">
        <v>23.8</v>
      </c>
    </row>
    <row r="8" spans="1:27" x14ac:dyDescent="0.2">
      <c r="N8">
        <v>286</v>
      </c>
      <c r="R8">
        <v>129248</v>
      </c>
      <c r="T8">
        <v>24.03</v>
      </c>
    </row>
    <row r="9" spans="1:27" x14ac:dyDescent="0.2">
      <c r="N9">
        <v>291</v>
      </c>
      <c r="R9">
        <v>131191</v>
      </c>
      <c r="T9">
        <v>22.37</v>
      </c>
    </row>
    <row r="10" spans="1:27" x14ac:dyDescent="0.2">
      <c r="N10">
        <v>296</v>
      </c>
      <c r="R10">
        <v>133409</v>
      </c>
      <c r="T10">
        <v>21.96</v>
      </c>
    </row>
    <row r="11" spans="1:27" x14ac:dyDescent="0.2">
      <c r="N11">
        <v>306</v>
      </c>
      <c r="R11">
        <v>138382</v>
      </c>
      <c r="T11">
        <v>23.09</v>
      </c>
    </row>
    <row r="12" spans="1:27" x14ac:dyDescent="0.2">
      <c r="N12">
        <v>311</v>
      </c>
      <c r="R12">
        <v>140938</v>
      </c>
      <c r="T12">
        <v>22.97</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67</v>
      </c>
      <c r="B2" s="6">
        <v>-77.569999999999993</v>
      </c>
      <c r="C2" s="6">
        <v>-16.45</v>
      </c>
      <c r="D2" s="4" t="s">
        <v>215</v>
      </c>
      <c r="E2" s="2"/>
      <c r="F2" s="2"/>
      <c r="G2" s="2"/>
      <c r="N2">
        <v>180</v>
      </c>
      <c r="R2">
        <v>115704</v>
      </c>
      <c r="T2">
        <v>17.82</v>
      </c>
      <c r="V2" s="2" t="s">
        <v>58</v>
      </c>
      <c r="W2" s="7" t="s">
        <v>225</v>
      </c>
      <c r="Z2">
        <v>-2734</v>
      </c>
    </row>
    <row r="3" spans="1:27" x14ac:dyDescent="0.2">
      <c r="E3" s="2"/>
      <c r="F3" s="2"/>
      <c r="G3" s="2"/>
      <c r="N3">
        <v>185</v>
      </c>
      <c r="R3">
        <v>120314</v>
      </c>
      <c r="T3">
        <v>17.91</v>
      </c>
    </row>
    <row r="4" spans="1:27" x14ac:dyDescent="0.2">
      <c r="E4" s="2"/>
      <c r="F4" s="2"/>
      <c r="G4" s="2"/>
      <c r="N4">
        <v>190</v>
      </c>
      <c r="R4">
        <v>128548</v>
      </c>
      <c r="T4">
        <v>14.93</v>
      </c>
    </row>
    <row r="5" spans="1:27" x14ac:dyDescent="0.2">
      <c r="E5" s="2"/>
      <c r="F5" s="2"/>
      <c r="G5" s="2"/>
      <c r="N5">
        <v>195</v>
      </c>
      <c r="R5">
        <v>134348</v>
      </c>
      <c r="T5">
        <v>14.53</v>
      </c>
    </row>
    <row r="6" spans="1:27" x14ac:dyDescent="0.2">
      <c r="N6">
        <v>200</v>
      </c>
      <c r="R6">
        <v>137932</v>
      </c>
      <c r="T6">
        <v>14.97</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A200"/>
  <sheetViews>
    <sheetView topLeftCell="C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68</v>
      </c>
      <c r="B2" s="6">
        <v>-82.080830000000006</v>
      </c>
      <c r="C2" s="6">
        <v>-0.67200000000000004</v>
      </c>
      <c r="D2" s="4" t="s">
        <v>28</v>
      </c>
      <c r="E2" s="2"/>
      <c r="F2" s="2"/>
      <c r="G2" s="2"/>
      <c r="L2">
        <v>3.3</v>
      </c>
      <c r="M2">
        <v>3.65</v>
      </c>
      <c r="Q2" s="1"/>
      <c r="R2">
        <v>115290</v>
      </c>
      <c r="T2">
        <v>26.45</v>
      </c>
      <c r="V2" s="2" t="s">
        <v>70</v>
      </c>
      <c r="W2" s="7" t="s">
        <v>226</v>
      </c>
      <c r="X2" s="2" t="s">
        <v>227</v>
      </c>
      <c r="Y2" s="2" t="s">
        <v>228</v>
      </c>
      <c r="Z2">
        <v>-1414</v>
      </c>
    </row>
    <row r="3" spans="1:27" x14ac:dyDescent="0.2">
      <c r="E3" s="2"/>
      <c r="F3" s="2"/>
      <c r="G3" s="2"/>
      <c r="L3">
        <v>3.45</v>
      </c>
      <c r="M3">
        <v>3.43</v>
      </c>
      <c r="Q3" s="1"/>
      <c r="R3">
        <v>115830</v>
      </c>
      <c r="T3">
        <v>26.48</v>
      </c>
    </row>
    <row r="4" spans="1:27" x14ac:dyDescent="0.2">
      <c r="E4" s="2"/>
      <c r="F4" s="2"/>
      <c r="G4" s="2"/>
      <c r="L4">
        <v>3.53</v>
      </c>
      <c r="M4">
        <v>4.3899999999999997</v>
      </c>
      <c r="Q4" s="1"/>
      <c r="R4">
        <v>116630</v>
      </c>
      <c r="T4">
        <v>26.55</v>
      </c>
    </row>
    <row r="5" spans="1:27" x14ac:dyDescent="0.2">
      <c r="E5" s="2"/>
      <c r="F5" s="2"/>
      <c r="G5" s="2"/>
      <c r="L5">
        <v>3.61</v>
      </c>
      <c r="M5">
        <v>4.08</v>
      </c>
      <c r="Q5" s="1"/>
      <c r="R5">
        <v>117170</v>
      </c>
      <c r="T5">
        <v>26.45</v>
      </c>
    </row>
    <row r="6" spans="1:27" x14ac:dyDescent="0.2">
      <c r="L6">
        <v>3.69</v>
      </c>
      <c r="M6">
        <v>3.25</v>
      </c>
      <c r="Q6" s="1"/>
      <c r="R6">
        <v>117710</v>
      </c>
      <c r="T6">
        <v>26.48</v>
      </c>
    </row>
    <row r="7" spans="1:27" x14ac:dyDescent="0.2">
      <c r="L7">
        <v>3.77</v>
      </c>
      <c r="M7">
        <v>3.91</v>
      </c>
      <c r="Q7" s="1"/>
      <c r="R7">
        <v>118250</v>
      </c>
      <c r="T7">
        <v>26.55</v>
      </c>
    </row>
    <row r="8" spans="1:27" x14ac:dyDescent="0.2">
      <c r="L8">
        <v>3.85</v>
      </c>
      <c r="M8">
        <v>4.47</v>
      </c>
      <c r="Q8" s="1"/>
      <c r="R8">
        <v>118790</v>
      </c>
      <c r="T8">
        <v>26.42</v>
      </c>
    </row>
    <row r="9" spans="1:27" x14ac:dyDescent="0.2">
      <c r="L9">
        <v>3.93</v>
      </c>
      <c r="M9">
        <v>4.72</v>
      </c>
      <c r="Q9" s="1"/>
      <c r="R9">
        <v>118930</v>
      </c>
      <c r="T9">
        <v>25.35</v>
      </c>
    </row>
    <row r="10" spans="1:27" x14ac:dyDescent="0.2">
      <c r="L10">
        <v>4.01</v>
      </c>
      <c r="M10">
        <v>4.3099999999999996</v>
      </c>
      <c r="Q10" s="1"/>
      <c r="R10">
        <v>119330</v>
      </c>
      <c r="T10">
        <v>26.58</v>
      </c>
    </row>
    <row r="11" spans="1:27" x14ac:dyDescent="0.2">
      <c r="L11">
        <v>4.09</v>
      </c>
      <c r="M11">
        <v>4.63</v>
      </c>
      <c r="Q11" s="1"/>
      <c r="R11">
        <v>119870</v>
      </c>
      <c r="T11">
        <v>26.52</v>
      </c>
    </row>
    <row r="12" spans="1:27" x14ac:dyDescent="0.2">
      <c r="Q12" s="1"/>
      <c r="R12">
        <v>120410</v>
      </c>
      <c r="T12">
        <v>26.64</v>
      </c>
    </row>
    <row r="13" spans="1:27" x14ac:dyDescent="0.2">
      <c r="Q13" s="1"/>
      <c r="R13">
        <v>120950</v>
      </c>
      <c r="T13">
        <v>26.55</v>
      </c>
    </row>
    <row r="14" spans="1:27" x14ac:dyDescent="0.2">
      <c r="Q14" s="1"/>
      <c r="R14">
        <v>121090</v>
      </c>
      <c r="T14">
        <v>25.72</v>
      </c>
    </row>
    <row r="15" spans="1:27" x14ac:dyDescent="0.2">
      <c r="Q15" s="1"/>
      <c r="R15">
        <v>121490</v>
      </c>
      <c r="T15">
        <v>26.55</v>
      </c>
    </row>
    <row r="16" spans="1:27" x14ac:dyDescent="0.2">
      <c r="Q16" s="1"/>
      <c r="R16">
        <v>122030</v>
      </c>
      <c r="T16">
        <v>26.52</v>
      </c>
    </row>
    <row r="17" spans="17:20" x14ac:dyDescent="0.2">
      <c r="Q17" s="1"/>
      <c r="R17">
        <v>122570</v>
      </c>
      <c r="T17">
        <v>26.55</v>
      </c>
    </row>
    <row r="18" spans="17:20" x14ac:dyDescent="0.2">
      <c r="Q18" s="1"/>
      <c r="R18">
        <v>123110</v>
      </c>
      <c r="T18">
        <v>26.61</v>
      </c>
    </row>
    <row r="19" spans="17:20" x14ac:dyDescent="0.2">
      <c r="Q19" s="1"/>
      <c r="R19">
        <v>123250</v>
      </c>
      <c r="T19">
        <v>26.15</v>
      </c>
    </row>
    <row r="20" spans="17:20" x14ac:dyDescent="0.2">
      <c r="Q20" s="1"/>
      <c r="R20">
        <v>123650</v>
      </c>
      <c r="T20">
        <v>26.55</v>
      </c>
    </row>
    <row r="21" spans="17:20" x14ac:dyDescent="0.2">
      <c r="Q21" s="1"/>
      <c r="R21">
        <v>124190</v>
      </c>
      <c r="T21">
        <v>26.64</v>
      </c>
    </row>
    <row r="22" spans="17:20" x14ac:dyDescent="0.2">
      <c r="Q22" s="1"/>
      <c r="R22">
        <v>124730</v>
      </c>
      <c r="T22">
        <v>26.67</v>
      </c>
    </row>
    <row r="23" spans="17:20" x14ac:dyDescent="0.2">
      <c r="Q23" s="1"/>
      <c r="R23">
        <v>125390</v>
      </c>
      <c r="T23">
        <v>26.61</v>
      </c>
    </row>
    <row r="24" spans="17:20" x14ac:dyDescent="0.2">
      <c r="Q24" s="1"/>
      <c r="R24">
        <v>125580</v>
      </c>
      <c r="T24">
        <v>26.1</v>
      </c>
    </row>
    <row r="25" spans="17:20" x14ac:dyDescent="0.2">
      <c r="Q25" s="1"/>
      <c r="R25">
        <v>126160</v>
      </c>
      <c r="T25">
        <v>26.64</v>
      </c>
    </row>
    <row r="26" spans="17:20" x14ac:dyDescent="0.2">
      <c r="Q26" s="1"/>
      <c r="R26">
        <v>126940</v>
      </c>
      <c r="T26">
        <v>26.55</v>
      </c>
    </row>
    <row r="27" spans="17:20" x14ac:dyDescent="0.2">
      <c r="Q27" s="1"/>
      <c r="R27">
        <v>127710</v>
      </c>
      <c r="T27">
        <v>26.58</v>
      </c>
    </row>
    <row r="28" spans="17:20" x14ac:dyDescent="0.2">
      <c r="Q28" s="1"/>
      <c r="R28">
        <v>128490</v>
      </c>
      <c r="T28">
        <v>26.64</v>
      </c>
    </row>
    <row r="29" spans="17:20" x14ac:dyDescent="0.2">
      <c r="Q29" s="1"/>
      <c r="R29">
        <v>128680</v>
      </c>
      <c r="T29">
        <v>26.2</v>
      </c>
    </row>
    <row r="30" spans="17:20" x14ac:dyDescent="0.2">
      <c r="Q30" s="1"/>
      <c r="R30">
        <v>129260</v>
      </c>
      <c r="T30">
        <v>26.58</v>
      </c>
    </row>
    <row r="31" spans="17:20" x14ac:dyDescent="0.2">
      <c r="Q31" s="1"/>
      <c r="R31">
        <v>130040</v>
      </c>
      <c r="T31">
        <v>26.58</v>
      </c>
    </row>
    <row r="32" spans="17:20" x14ac:dyDescent="0.2">
      <c r="Q32" s="1"/>
      <c r="R32">
        <v>131590</v>
      </c>
      <c r="T32">
        <v>26.39</v>
      </c>
    </row>
    <row r="33" spans="17:20" x14ac:dyDescent="0.2">
      <c r="Q33" s="1"/>
      <c r="R33">
        <v>131780</v>
      </c>
      <c r="T33">
        <v>26.54</v>
      </c>
    </row>
    <row r="34" spans="17:20" x14ac:dyDescent="0.2">
      <c r="Q34" s="1"/>
      <c r="R34">
        <v>133140</v>
      </c>
      <c r="T34">
        <v>25.91</v>
      </c>
    </row>
    <row r="35" spans="17:20" x14ac:dyDescent="0.2">
      <c r="Q35" s="1"/>
      <c r="R35">
        <v>134690</v>
      </c>
      <c r="T35">
        <v>25.42</v>
      </c>
    </row>
    <row r="36" spans="17:20" x14ac:dyDescent="0.2">
      <c r="Q36" s="1"/>
      <c r="R36">
        <v>136240</v>
      </c>
      <c r="T36">
        <v>25.24</v>
      </c>
    </row>
    <row r="37" spans="17:20" x14ac:dyDescent="0.2">
      <c r="Q37" s="1"/>
      <c r="R37">
        <v>137010</v>
      </c>
      <c r="T37">
        <v>25.3</v>
      </c>
    </row>
    <row r="38" spans="17:20" x14ac:dyDescent="0.2">
      <c r="Q38" s="1"/>
      <c r="R38">
        <v>137790</v>
      </c>
      <c r="T38">
        <v>25.12</v>
      </c>
    </row>
    <row r="39" spans="17:20" x14ac:dyDescent="0.2">
      <c r="Q39" s="1"/>
      <c r="R39">
        <v>137980</v>
      </c>
      <c r="T39">
        <v>25.14</v>
      </c>
    </row>
    <row r="40" spans="17:20" x14ac:dyDescent="0.2">
      <c r="Q40" s="1"/>
      <c r="R40">
        <v>139340</v>
      </c>
      <c r="T40">
        <v>25.73</v>
      </c>
    </row>
    <row r="41" spans="17:20" x14ac:dyDescent="0.2">
      <c r="Q41" s="1"/>
      <c r="R41">
        <v>140890</v>
      </c>
      <c r="T41">
        <v>25.33</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1600-000000000000}"/>
  </hyperlinks>
  <pageMargins left="0.75" right="0.75" top="1" bottom="1" header="0.5" footer="0.5"/>
  <pageSetup orientation="portrait" horizontalDpi="4294967292" verticalDpi="429496729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A200"/>
  <sheetViews>
    <sheetView topLeftCell="M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71</v>
      </c>
      <c r="B2" s="6">
        <v>-106.52</v>
      </c>
      <c r="C2" s="6">
        <v>22.52</v>
      </c>
      <c r="D2" s="4" t="s">
        <v>28</v>
      </c>
      <c r="E2" s="2"/>
      <c r="F2" s="2"/>
      <c r="G2" s="2"/>
      <c r="N2">
        <v>535.5</v>
      </c>
      <c r="O2">
        <v>0.85199999999999998</v>
      </c>
      <c r="R2">
        <v>115140</v>
      </c>
      <c r="S2" s="1">
        <v>17.850000000000001</v>
      </c>
      <c r="T2">
        <v>23.95</v>
      </c>
      <c r="U2" s="1">
        <v>32.869999999999997</v>
      </c>
      <c r="V2" s="2" t="s">
        <v>73</v>
      </c>
      <c r="W2" s="7" t="s">
        <v>229</v>
      </c>
      <c r="X2" s="2" t="s">
        <v>230</v>
      </c>
      <c r="Y2" s="2" t="s">
        <v>231</v>
      </c>
      <c r="Z2">
        <v>-2025</v>
      </c>
    </row>
    <row r="3" spans="1:27" x14ac:dyDescent="0.2">
      <c r="E3" s="2"/>
      <c r="F3" s="2"/>
      <c r="G3" s="2"/>
      <c r="N3">
        <v>539.5</v>
      </c>
      <c r="O3">
        <v>0.83899999999999997</v>
      </c>
      <c r="R3">
        <v>116787</v>
      </c>
      <c r="S3" s="1">
        <v>17.64</v>
      </c>
      <c r="T3">
        <v>23.46</v>
      </c>
      <c r="U3" s="1">
        <v>31.26</v>
      </c>
    </row>
    <row r="4" spans="1:27" x14ac:dyDescent="0.2">
      <c r="E4" s="2"/>
      <c r="F4" s="2"/>
      <c r="G4" s="2"/>
      <c r="N4">
        <v>543.5</v>
      </c>
      <c r="O4">
        <v>0.83599999999999997</v>
      </c>
      <c r="R4">
        <v>118411</v>
      </c>
      <c r="S4" s="1">
        <v>17.53</v>
      </c>
      <c r="T4">
        <v>23.37</v>
      </c>
      <c r="U4" s="1">
        <v>30.99</v>
      </c>
    </row>
    <row r="5" spans="1:27" x14ac:dyDescent="0.2">
      <c r="E5" s="2"/>
      <c r="F5" s="2"/>
      <c r="G5" s="2"/>
      <c r="N5">
        <v>546.5</v>
      </c>
      <c r="O5">
        <v>0.82399999999999995</v>
      </c>
      <c r="R5">
        <v>119569</v>
      </c>
      <c r="S5" s="1">
        <v>17.239999999999998</v>
      </c>
      <c r="T5">
        <v>22.96</v>
      </c>
      <c r="U5" s="1">
        <v>30.06</v>
      </c>
    </row>
    <row r="6" spans="1:27" x14ac:dyDescent="0.2">
      <c r="N6">
        <v>561.5</v>
      </c>
      <c r="O6">
        <v>0.83199999999999996</v>
      </c>
      <c r="R6">
        <v>123259</v>
      </c>
      <c r="S6" s="1">
        <v>17.329999999999998</v>
      </c>
      <c r="T6">
        <v>23.23</v>
      </c>
      <c r="U6" s="1">
        <v>30.83</v>
      </c>
    </row>
    <row r="7" spans="1:27" x14ac:dyDescent="0.2">
      <c r="N7">
        <v>565.5</v>
      </c>
      <c r="O7">
        <v>0.81499999999999995</v>
      </c>
      <c r="R7">
        <v>124280</v>
      </c>
      <c r="S7" s="1">
        <v>16.940000000000001</v>
      </c>
      <c r="T7">
        <v>22.66</v>
      </c>
      <c r="U7" s="1">
        <v>29.42</v>
      </c>
    </row>
    <row r="8" spans="1:27" x14ac:dyDescent="0.2">
      <c r="N8">
        <v>569.5</v>
      </c>
      <c r="O8">
        <v>0.79400000000000004</v>
      </c>
      <c r="R8">
        <v>125279</v>
      </c>
      <c r="S8" s="1">
        <v>16.309999999999999</v>
      </c>
      <c r="T8">
        <v>21.99</v>
      </c>
      <c r="U8" s="1">
        <v>28.33</v>
      </c>
    </row>
    <row r="9" spans="1:27" x14ac:dyDescent="0.2">
      <c r="N9">
        <v>575.5</v>
      </c>
      <c r="O9">
        <v>0.78100000000000003</v>
      </c>
      <c r="R9">
        <v>126780</v>
      </c>
      <c r="S9" s="1">
        <v>15.9</v>
      </c>
      <c r="T9">
        <v>21.58</v>
      </c>
      <c r="U9" s="1">
        <v>27.64</v>
      </c>
    </row>
    <row r="10" spans="1:27" x14ac:dyDescent="0.2">
      <c r="N10">
        <v>578.5</v>
      </c>
      <c r="O10">
        <v>0.77800000000000002</v>
      </c>
      <c r="R10">
        <v>127503</v>
      </c>
      <c r="S10" s="1">
        <v>15.79</v>
      </c>
      <c r="T10">
        <v>21.49</v>
      </c>
      <c r="U10" s="1">
        <v>27.49</v>
      </c>
    </row>
    <row r="11" spans="1:27" x14ac:dyDescent="0.2">
      <c r="N11">
        <v>580.5</v>
      </c>
      <c r="O11">
        <v>0.76700000000000002</v>
      </c>
      <c r="R11">
        <v>127985</v>
      </c>
      <c r="S11" s="1">
        <v>15.52</v>
      </c>
      <c r="T11">
        <v>21.18</v>
      </c>
      <c r="U11" s="1">
        <v>27.02</v>
      </c>
    </row>
    <row r="12" spans="1:27" x14ac:dyDescent="0.2">
      <c r="N12">
        <v>582.5</v>
      </c>
      <c r="O12">
        <v>0.754</v>
      </c>
      <c r="R12">
        <v>128463</v>
      </c>
      <c r="S12" s="1">
        <v>15.12</v>
      </c>
      <c r="T12">
        <v>20.76</v>
      </c>
      <c r="U12" s="1">
        <v>26.66</v>
      </c>
    </row>
    <row r="13" spans="1:27" x14ac:dyDescent="0.2">
      <c r="N13">
        <v>585.5</v>
      </c>
      <c r="O13">
        <v>0.75</v>
      </c>
      <c r="R13">
        <v>129173</v>
      </c>
      <c r="S13" s="1">
        <v>15.02</v>
      </c>
      <c r="T13">
        <v>20.64</v>
      </c>
      <c r="U13" s="1">
        <v>26.54</v>
      </c>
    </row>
    <row r="14" spans="1:27" x14ac:dyDescent="0.2">
      <c r="N14">
        <v>587.5</v>
      </c>
      <c r="O14">
        <v>0.76400000000000001</v>
      </c>
      <c r="R14">
        <v>129660</v>
      </c>
      <c r="S14" s="1">
        <v>15.34</v>
      </c>
      <c r="T14">
        <v>21.08</v>
      </c>
      <c r="U14" s="1">
        <v>26.94</v>
      </c>
    </row>
    <row r="15" spans="1:27" x14ac:dyDescent="0.2">
      <c r="N15">
        <v>590.5</v>
      </c>
      <c r="O15">
        <v>0.751</v>
      </c>
      <c r="R15">
        <v>130333</v>
      </c>
      <c r="S15" s="1">
        <v>15</v>
      </c>
      <c r="T15">
        <v>20.68</v>
      </c>
      <c r="U15" s="1">
        <v>26.48</v>
      </c>
    </row>
    <row r="16" spans="1:27" x14ac:dyDescent="0.2">
      <c r="N16">
        <v>594.5</v>
      </c>
      <c r="O16">
        <v>0.749</v>
      </c>
      <c r="R16">
        <v>131230</v>
      </c>
      <c r="S16" s="1">
        <v>14.89</v>
      </c>
      <c r="T16">
        <v>20.61</v>
      </c>
      <c r="U16" s="1">
        <v>26.41</v>
      </c>
    </row>
    <row r="17" spans="14:21" x14ac:dyDescent="0.2">
      <c r="N17">
        <v>600.5</v>
      </c>
      <c r="O17">
        <v>0.73399999999999999</v>
      </c>
      <c r="R17">
        <v>132521</v>
      </c>
      <c r="S17" s="1">
        <v>14.44</v>
      </c>
      <c r="T17">
        <v>20.16</v>
      </c>
      <c r="U17" s="1">
        <v>25.84</v>
      </c>
    </row>
    <row r="18" spans="14:21" x14ac:dyDescent="0.2">
      <c r="N18">
        <v>603.5</v>
      </c>
      <c r="O18">
        <v>0.74</v>
      </c>
      <c r="R18">
        <v>133158</v>
      </c>
      <c r="S18" s="1">
        <v>14.65</v>
      </c>
      <c r="T18">
        <v>20.350000000000001</v>
      </c>
      <c r="U18" s="1">
        <v>26.13</v>
      </c>
    </row>
    <row r="19" spans="14:21" x14ac:dyDescent="0.2">
      <c r="N19">
        <v>607.5</v>
      </c>
      <c r="O19">
        <v>0.74199999999999999</v>
      </c>
      <c r="R19">
        <v>133999</v>
      </c>
      <c r="S19" s="1">
        <v>14.69</v>
      </c>
      <c r="T19">
        <v>20.39</v>
      </c>
      <c r="U19" s="1">
        <v>26.15</v>
      </c>
    </row>
    <row r="20" spans="14:21" x14ac:dyDescent="0.2">
      <c r="N20">
        <v>610.5</v>
      </c>
      <c r="O20">
        <v>0.75700000000000001</v>
      </c>
      <c r="R20">
        <v>134589</v>
      </c>
      <c r="S20" s="1">
        <v>15.2</v>
      </c>
      <c r="T20">
        <v>20.86</v>
      </c>
      <c r="U20" s="1">
        <v>26.68</v>
      </c>
    </row>
    <row r="21" spans="14:21" x14ac:dyDescent="0.2">
      <c r="N21">
        <v>615.5</v>
      </c>
      <c r="O21">
        <v>0.76700000000000002</v>
      </c>
      <c r="R21">
        <v>135558</v>
      </c>
      <c r="S21" s="1">
        <v>15.46</v>
      </c>
      <c r="T21">
        <v>21.16</v>
      </c>
      <c r="U21" s="1">
        <v>27.04</v>
      </c>
    </row>
    <row r="22" spans="14:21" x14ac:dyDescent="0.2">
      <c r="N22">
        <v>620.5</v>
      </c>
      <c r="O22">
        <v>0.76</v>
      </c>
      <c r="R22">
        <v>136542</v>
      </c>
      <c r="S22" s="1">
        <v>15.27</v>
      </c>
      <c r="T22">
        <v>20.95</v>
      </c>
      <c r="U22" s="1">
        <v>26.79</v>
      </c>
    </row>
    <row r="23" spans="14:21" x14ac:dyDescent="0.2">
      <c r="N23">
        <v>624.5</v>
      </c>
      <c r="O23">
        <v>0.79200000000000004</v>
      </c>
      <c r="R23">
        <v>137329</v>
      </c>
      <c r="S23" s="1">
        <v>16.22</v>
      </c>
      <c r="T23">
        <v>21.94</v>
      </c>
      <c r="U23" s="1">
        <v>28.1</v>
      </c>
    </row>
    <row r="24" spans="14:21" x14ac:dyDescent="0.2">
      <c r="N24">
        <v>630.5</v>
      </c>
      <c r="O24">
        <v>0.77</v>
      </c>
      <c r="R24">
        <v>138522</v>
      </c>
      <c r="S24" s="1">
        <v>15.54</v>
      </c>
      <c r="T24">
        <v>21.24</v>
      </c>
      <c r="U24" s="1">
        <v>27.16</v>
      </c>
    </row>
    <row r="25" spans="14:21" x14ac:dyDescent="0.2">
      <c r="N25">
        <v>634.5</v>
      </c>
      <c r="O25">
        <v>0.77900000000000003</v>
      </c>
      <c r="R25">
        <v>139295</v>
      </c>
      <c r="S25" s="1">
        <v>15.83</v>
      </c>
      <c r="T25">
        <v>21.53</v>
      </c>
      <c r="U25" s="1">
        <v>27.51</v>
      </c>
    </row>
    <row r="26" spans="14:21" x14ac:dyDescent="0.2">
      <c r="N26">
        <v>640.5</v>
      </c>
      <c r="O26">
        <v>0.77400000000000002</v>
      </c>
      <c r="R26">
        <v>140475</v>
      </c>
      <c r="S26" s="1">
        <v>15.66</v>
      </c>
      <c r="T26">
        <v>21.4</v>
      </c>
      <c r="U26" s="1">
        <v>27.36</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1700-000000000000}"/>
  </hyperlinks>
  <pageMargins left="0.75" right="0.75" top="1" bottom="1" header="0.5" footer="0.5"/>
  <pageSetup orientation="portrait" horizontalDpi="4294967292" verticalDpi="429496729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A200"/>
  <sheetViews>
    <sheetView zoomScale="66" zoomScaleNormal="66" workbookViewId="0">
      <selection activeCell="N31" sqref="N3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74</v>
      </c>
      <c r="B2" s="6">
        <v>-90.95</v>
      </c>
      <c r="C2" s="6">
        <v>2.25</v>
      </c>
      <c r="D2" s="4" t="s">
        <v>199</v>
      </c>
      <c r="E2" s="2"/>
      <c r="F2" s="2"/>
      <c r="G2" s="2"/>
      <c r="N2">
        <v>374</v>
      </c>
      <c r="O2">
        <v>2.698</v>
      </c>
      <c r="P2" s="2">
        <v>24.8</v>
      </c>
      <c r="R2">
        <v>116400</v>
      </c>
      <c r="S2" s="1">
        <f t="shared" ref="S2:S15" si="0">T2-0.6</f>
        <v>24.2</v>
      </c>
      <c r="T2" s="2">
        <v>24.8</v>
      </c>
      <c r="U2" s="1">
        <f t="shared" ref="U2:U15" si="1">T2+0.6</f>
        <v>25.400000000000002</v>
      </c>
      <c r="V2" s="7" t="s">
        <v>76</v>
      </c>
      <c r="W2" s="7" t="s">
        <v>232</v>
      </c>
      <c r="X2" s="2" t="s">
        <v>233</v>
      </c>
      <c r="Y2" s="2" t="s">
        <v>234</v>
      </c>
      <c r="Z2">
        <v>-2348</v>
      </c>
    </row>
    <row r="3" spans="1:27" x14ac:dyDescent="0.2">
      <c r="E3" s="2"/>
      <c r="F3" s="2"/>
      <c r="G3" s="2"/>
      <c r="N3">
        <v>379</v>
      </c>
      <c r="O3">
        <v>3.13</v>
      </c>
      <c r="P3" s="2">
        <v>26.5</v>
      </c>
      <c r="R3">
        <v>119000</v>
      </c>
      <c r="S3" s="1">
        <f t="shared" si="0"/>
        <v>25.9</v>
      </c>
      <c r="T3" s="2">
        <v>26.5</v>
      </c>
      <c r="U3" s="1">
        <f t="shared" si="1"/>
        <v>27.1</v>
      </c>
    </row>
    <row r="4" spans="1:27" x14ac:dyDescent="0.2">
      <c r="E4" s="2"/>
      <c r="F4" s="2"/>
      <c r="G4" s="2"/>
      <c r="N4">
        <v>384</v>
      </c>
      <c r="O4">
        <v>3.0910000000000002</v>
      </c>
      <c r="P4" s="2">
        <v>26.3</v>
      </c>
      <c r="R4">
        <v>121500</v>
      </c>
      <c r="S4" s="1">
        <f t="shared" si="0"/>
        <v>25.7</v>
      </c>
      <c r="T4" s="2">
        <v>26.3</v>
      </c>
      <c r="U4" s="1">
        <f t="shared" si="1"/>
        <v>26.900000000000002</v>
      </c>
    </row>
    <row r="5" spans="1:27" x14ac:dyDescent="0.2">
      <c r="E5" s="2"/>
      <c r="F5" s="2"/>
      <c r="G5" s="2"/>
      <c r="N5">
        <v>389</v>
      </c>
      <c r="O5">
        <v>3.3849999999999998</v>
      </c>
      <c r="P5" s="2">
        <v>27.3</v>
      </c>
      <c r="R5">
        <v>124000</v>
      </c>
      <c r="S5" s="1">
        <f t="shared" si="0"/>
        <v>26.7</v>
      </c>
      <c r="T5" s="2">
        <v>27.3</v>
      </c>
      <c r="U5" s="1">
        <f t="shared" si="1"/>
        <v>27.900000000000002</v>
      </c>
    </row>
    <row r="6" spans="1:27" x14ac:dyDescent="0.2">
      <c r="N6">
        <v>394</v>
      </c>
      <c r="O6">
        <v>3.59</v>
      </c>
      <c r="P6" s="2">
        <v>28</v>
      </c>
      <c r="R6">
        <v>125400</v>
      </c>
      <c r="S6" s="1">
        <f t="shared" si="0"/>
        <v>27.4</v>
      </c>
      <c r="T6" s="2">
        <v>28</v>
      </c>
      <c r="U6" s="1">
        <f t="shared" si="1"/>
        <v>28.6</v>
      </c>
    </row>
    <row r="7" spans="1:27" x14ac:dyDescent="0.2">
      <c r="N7">
        <v>399</v>
      </c>
      <c r="O7">
        <v>3.621</v>
      </c>
      <c r="P7" s="2">
        <v>28.1</v>
      </c>
      <c r="Q7" s="1"/>
      <c r="R7">
        <v>126800</v>
      </c>
      <c r="S7" s="1">
        <f t="shared" si="0"/>
        <v>27.5</v>
      </c>
      <c r="T7" s="2">
        <v>28.1</v>
      </c>
      <c r="U7" s="1">
        <f t="shared" si="1"/>
        <v>28.700000000000003</v>
      </c>
    </row>
    <row r="8" spans="1:27" ht="17" customHeight="1" x14ac:dyDescent="0.25">
      <c r="M8" s="12"/>
      <c r="N8">
        <v>404</v>
      </c>
      <c r="O8">
        <v>3.6139999999999999</v>
      </c>
      <c r="P8" s="2">
        <v>28.1</v>
      </c>
      <c r="R8">
        <v>128200</v>
      </c>
      <c r="S8" s="1">
        <f t="shared" si="0"/>
        <v>27.5</v>
      </c>
      <c r="T8" s="2">
        <v>28.1</v>
      </c>
      <c r="U8" s="1">
        <f t="shared" si="1"/>
        <v>28.700000000000003</v>
      </c>
    </row>
    <row r="9" spans="1:27" x14ac:dyDescent="0.2">
      <c r="M9" s="11"/>
      <c r="N9">
        <v>409</v>
      </c>
      <c r="O9">
        <v>3.1579999999999999</v>
      </c>
      <c r="P9" s="2">
        <v>26.6</v>
      </c>
      <c r="R9">
        <v>129600</v>
      </c>
      <c r="S9" s="1">
        <f t="shared" si="0"/>
        <v>26</v>
      </c>
      <c r="T9" s="2">
        <v>26.6</v>
      </c>
      <c r="U9" s="1">
        <f t="shared" si="1"/>
        <v>27.200000000000003</v>
      </c>
    </row>
    <row r="10" spans="1:27" x14ac:dyDescent="0.2">
      <c r="M10" s="11"/>
      <c r="N10">
        <v>414</v>
      </c>
      <c r="O10">
        <v>3.367</v>
      </c>
      <c r="P10" s="2">
        <v>27.3</v>
      </c>
      <c r="R10">
        <v>131000</v>
      </c>
      <c r="S10" s="1">
        <f t="shared" si="0"/>
        <v>26.7</v>
      </c>
      <c r="T10" s="2">
        <v>27.3</v>
      </c>
      <c r="U10" s="1">
        <f t="shared" si="1"/>
        <v>27.900000000000002</v>
      </c>
    </row>
    <row r="11" spans="1:27" x14ac:dyDescent="0.2">
      <c r="M11" s="11"/>
      <c r="N11">
        <v>419</v>
      </c>
      <c r="O11">
        <v>3.0579999999999998</v>
      </c>
      <c r="P11" s="2">
        <v>26.2</v>
      </c>
      <c r="R11">
        <v>132700</v>
      </c>
      <c r="S11" s="1">
        <f t="shared" si="0"/>
        <v>25.599999999999998</v>
      </c>
      <c r="T11" s="2">
        <v>26.2</v>
      </c>
      <c r="U11" s="1">
        <f t="shared" si="1"/>
        <v>26.8</v>
      </c>
    </row>
    <row r="12" spans="1:27" x14ac:dyDescent="0.2">
      <c r="M12" s="11"/>
      <c r="N12">
        <v>423</v>
      </c>
      <c r="O12">
        <v>2.7959999999999998</v>
      </c>
      <c r="P12" s="2">
        <v>25.2</v>
      </c>
      <c r="R12">
        <v>134100</v>
      </c>
      <c r="S12" s="1">
        <f t="shared" si="0"/>
        <v>24.599999999999998</v>
      </c>
      <c r="T12" s="2">
        <v>25.2</v>
      </c>
      <c r="U12" s="1">
        <f t="shared" si="1"/>
        <v>25.8</v>
      </c>
    </row>
    <row r="13" spans="1:27" x14ac:dyDescent="0.2">
      <c r="N13">
        <v>429</v>
      </c>
      <c r="O13">
        <v>2.5219999999999998</v>
      </c>
      <c r="P13" s="2">
        <v>24.1</v>
      </c>
      <c r="R13">
        <v>136200</v>
      </c>
      <c r="S13" s="1">
        <f t="shared" si="0"/>
        <v>23.5</v>
      </c>
      <c r="T13" s="2">
        <v>24.1</v>
      </c>
      <c r="U13" s="1">
        <f t="shared" si="1"/>
        <v>24.700000000000003</v>
      </c>
    </row>
    <row r="14" spans="1:27" ht="17" customHeight="1" x14ac:dyDescent="0.25">
      <c r="M14" s="17"/>
      <c r="N14">
        <v>434</v>
      </c>
      <c r="O14">
        <v>2.605</v>
      </c>
      <c r="P14" s="2">
        <v>24.4</v>
      </c>
      <c r="R14">
        <v>138000</v>
      </c>
      <c r="S14" s="1">
        <f t="shared" si="0"/>
        <v>23.799999999999997</v>
      </c>
      <c r="T14" s="2">
        <v>24.4</v>
      </c>
      <c r="U14" s="1">
        <f t="shared" si="1"/>
        <v>25</v>
      </c>
    </row>
    <row r="15" spans="1:27" ht="17" customHeight="1" x14ac:dyDescent="0.25">
      <c r="M15" s="17"/>
      <c r="N15">
        <v>439</v>
      </c>
      <c r="O15">
        <v>2.4910000000000001</v>
      </c>
      <c r="P15" s="2">
        <v>23.9</v>
      </c>
      <c r="R15">
        <v>139700</v>
      </c>
      <c r="S15" s="1">
        <f t="shared" si="0"/>
        <v>23.299999999999997</v>
      </c>
      <c r="T15" s="2">
        <v>23.9</v>
      </c>
      <c r="U15" s="1">
        <f t="shared" si="1"/>
        <v>24.5</v>
      </c>
    </row>
    <row r="16" spans="1:27" ht="17" customHeight="1" x14ac:dyDescent="0.25">
      <c r="M16" s="17"/>
    </row>
    <row r="17" spans="13:13" ht="17" customHeight="1" x14ac:dyDescent="0.25">
      <c r="M17" s="17"/>
    </row>
    <row r="18" spans="13:13" ht="17" customHeight="1" x14ac:dyDescent="0.25">
      <c r="M18" s="17"/>
    </row>
    <row r="19" spans="13:13" ht="17" customHeight="1" x14ac:dyDescent="0.25">
      <c r="M19" s="17"/>
    </row>
    <row r="20" spans="13:13" ht="17" customHeight="1" x14ac:dyDescent="0.25">
      <c r="M20" s="17"/>
    </row>
    <row r="21" spans="13:13" ht="17" customHeight="1" x14ac:dyDescent="0.25">
      <c r="M21" s="17"/>
    </row>
    <row r="22" spans="13:13" ht="17" customHeight="1" x14ac:dyDescent="0.25">
      <c r="M22" s="17"/>
    </row>
    <row r="23" spans="13:13" ht="17" customHeight="1" x14ac:dyDescent="0.25">
      <c r="M23" s="17"/>
    </row>
    <row r="24" spans="13:13" ht="17" customHeight="1" x14ac:dyDescent="0.25">
      <c r="M24" s="17"/>
    </row>
    <row r="25" spans="13:13" ht="17" customHeight="1" x14ac:dyDescent="0.25">
      <c r="M25" s="17"/>
    </row>
    <row r="26" spans="13:13" ht="17" customHeight="1" x14ac:dyDescent="0.25">
      <c r="M26" s="17"/>
    </row>
    <row r="27" spans="13:13" ht="17" customHeight="1" x14ac:dyDescent="0.25">
      <c r="M27" s="17"/>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1800-000000000000}"/>
  </hyperlinks>
  <pageMargins left="0.75" right="0.75" top="1" bottom="1" header="0.5" footer="0.5"/>
  <pageSetup orientation="portrait" horizontalDpi="4294967292" verticalDpi="429496729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A200"/>
  <sheetViews>
    <sheetView topLeftCell="O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9" width="13.42578125" style="2" customWidth="1"/>
    <col min="20"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77</v>
      </c>
      <c r="B2" s="6">
        <v>78</v>
      </c>
      <c r="C2" s="6">
        <v>2.67</v>
      </c>
      <c r="D2" s="4" t="s">
        <v>199</v>
      </c>
      <c r="E2" s="2"/>
      <c r="F2" s="2"/>
      <c r="G2" s="2"/>
      <c r="N2">
        <v>232</v>
      </c>
      <c r="O2">
        <v>3.8580000000000001</v>
      </c>
      <c r="P2" s="1"/>
      <c r="Q2" s="1"/>
      <c r="R2" s="1">
        <v>116133.3</v>
      </c>
      <c r="S2" s="1"/>
      <c r="T2">
        <v>27.885999999999999</v>
      </c>
      <c r="U2" s="1"/>
      <c r="V2" s="2" t="s">
        <v>79</v>
      </c>
      <c r="W2" s="7" t="s">
        <v>235</v>
      </c>
      <c r="X2" s="2" t="s">
        <v>236</v>
      </c>
      <c r="Y2" s="2" t="s">
        <v>237</v>
      </c>
      <c r="Z2">
        <v>-3500</v>
      </c>
    </row>
    <row r="3" spans="1:27" x14ac:dyDescent="0.2">
      <c r="E3" s="2"/>
      <c r="F3" s="2"/>
      <c r="G3" s="2"/>
      <c r="N3">
        <v>234</v>
      </c>
      <c r="O3">
        <v>4.0979999999999999</v>
      </c>
      <c r="P3" s="1"/>
      <c r="Q3" s="1"/>
      <c r="R3" s="1">
        <v>117600</v>
      </c>
      <c r="S3" s="1"/>
      <c r="T3">
        <v>28.556999999999999</v>
      </c>
      <c r="U3" s="1"/>
    </row>
    <row r="4" spans="1:27" x14ac:dyDescent="0.2">
      <c r="E4" s="2"/>
      <c r="F4" s="2"/>
      <c r="G4" s="2"/>
      <c r="N4">
        <v>236</v>
      </c>
      <c r="O4">
        <v>4.46</v>
      </c>
      <c r="P4" s="1"/>
      <c r="Q4" s="1"/>
      <c r="R4" s="1">
        <v>119066.7</v>
      </c>
      <c r="S4" s="1"/>
      <c r="T4">
        <v>29.498999999999999</v>
      </c>
      <c r="U4" s="1"/>
    </row>
    <row r="5" spans="1:27" x14ac:dyDescent="0.2">
      <c r="E5" s="2"/>
      <c r="F5" s="2"/>
      <c r="G5" s="2"/>
      <c r="N5">
        <v>238</v>
      </c>
      <c r="O5">
        <v>4.0069999999999997</v>
      </c>
      <c r="P5" s="1"/>
      <c r="Q5" s="1"/>
      <c r="R5" s="1">
        <v>120533.3</v>
      </c>
      <c r="S5" s="1"/>
      <c r="T5">
        <v>28.308</v>
      </c>
      <c r="U5" s="1"/>
    </row>
    <row r="6" spans="1:27" x14ac:dyDescent="0.2">
      <c r="N6">
        <v>240</v>
      </c>
      <c r="O6">
        <v>4.6369999999999996</v>
      </c>
      <c r="P6" s="1"/>
      <c r="Q6" s="1"/>
      <c r="R6" s="1">
        <v>122000</v>
      </c>
      <c r="S6" s="1"/>
      <c r="T6">
        <v>29.931999999999999</v>
      </c>
      <c r="U6" s="1"/>
    </row>
    <row r="7" spans="1:27" x14ac:dyDescent="0.2">
      <c r="N7">
        <v>244</v>
      </c>
      <c r="O7">
        <v>4.3449999999999998</v>
      </c>
      <c r="P7" s="1"/>
      <c r="Q7" s="1"/>
      <c r="R7" s="1">
        <v>124000</v>
      </c>
      <c r="S7" s="1"/>
      <c r="T7">
        <v>29.207000000000001</v>
      </c>
      <c r="U7" s="1"/>
    </row>
    <row r="8" spans="1:27" x14ac:dyDescent="0.2">
      <c r="N8">
        <v>246</v>
      </c>
      <c r="O8">
        <v>4.0750000000000002</v>
      </c>
      <c r="P8" s="1"/>
      <c r="Q8" s="1"/>
      <c r="R8" s="1">
        <v>125000</v>
      </c>
      <c r="S8" s="1"/>
      <c r="T8">
        <v>28.495999999999999</v>
      </c>
      <c r="U8" s="1"/>
    </row>
    <row r="9" spans="1:27" x14ac:dyDescent="0.2">
      <c r="N9">
        <v>248</v>
      </c>
      <c r="O9">
        <v>4.2119999999999997</v>
      </c>
      <c r="P9" s="1"/>
      <c r="Q9" s="1"/>
      <c r="R9" s="1">
        <v>126000</v>
      </c>
      <c r="S9" s="1"/>
      <c r="T9">
        <v>28.864000000000001</v>
      </c>
      <c r="U9" s="1"/>
    </row>
    <row r="10" spans="1:27" x14ac:dyDescent="0.2">
      <c r="N10">
        <v>250</v>
      </c>
      <c r="O10">
        <v>4.0679999999999996</v>
      </c>
      <c r="P10" s="1"/>
      <c r="Q10" s="1"/>
      <c r="R10" s="1">
        <v>127000</v>
      </c>
      <c r="S10" s="1"/>
      <c r="T10">
        <v>28.477</v>
      </c>
      <c r="U10" s="1"/>
    </row>
    <row r="11" spans="1:27" x14ac:dyDescent="0.2">
      <c r="N11">
        <v>252</v>
      </c>
      <c r="O11">
        <v>3.819</v>
      </c>
      <c r="P11" s="1"/>
      <c r="Q11" s="1"/>
      <c r="R11" s="1">
        <v>128333.3</v>
      </c>
      <c r="S11" s="1"/>
      <c r="T11">
        <v>27.776</v>
      </c>
      <c r="U11" s="1"/>
    </row>
    <row r="12" spans="1:27" x14ac:dyDescent="0.2">
      <c r="N12">
        <v>254</v>
      </c>
      <c r="O12">
        <v>3.8660000000000001</v>
      </c>
      <c r="P12" s="1"/>
      <c r="Q12" s="1"/>
      <c r="R12" s="1">
        <v>129666.7</v>
      </c>
      <c r="S12" s="1"/>
      <c r="T12">
        <v>27.91</v>
      </c>
      <c r="U12" s="1"/>
    </row>
    <row r="13" spans="1:27" x14ac:dyDescent="0.2">
      <c r="N13">
        <v>256</v>
      </c>
      <c r="O13">
        <v>3.6909999999999998</v>
      </c>
      <c r="P13" s="1"/>
      <c r="Q13" s="1"/>
      <c r="R13" s="1">
        <v>131000</v>
      </c>
      <c r="S13" s="1"/>
      <c r="T13">
        <v>27.396999999999998</v>
      </c>
      <c r="U13" s="1"/>
    </row>
    <row r="14" spans="1:27" x14ac:dyDescent="0.2">
      <c r="N14">
        <v>258</v>
      </c>
      <c r="O14">
        <v>3.6469999999999998</v>
      </c>
      <c r="P14" s="1"/>
      <c r="Q14" s="1"/>
      <c r="R14" s="1">
        <v>131800</v>
      </c>
      <c r="S14" s="1"/>
      <c r="T14">
        <v>27.262</v>
      </c>
      <c r="U14" s="1"/>
    </row>
    <row r="15" spans="1:27" x14ac:dyDescent="0.2">
      <c r="N15">
        <v>260</v>
      </c>
      <c r="O15">
        <v>3.6579999999999999</v>
      </c>
      <c r="P15" s="1"/>
      <c r="Q15" s="1"/>
      <c r="R15" s="1">
        <v>132600</v>
      </c>
      <c r="S15" s="1"/>
      <c r="T15">
        <v>27.295999999999999</v>
      </c>
      <c r="U15" s="1"/>
    </row>
    <row r="16" spans="1:27" x14ac:dyDescent="0.2">
      <c r="N16">
        <v>262</v>
      </c>
      <c r="O16">
        <v>3.8759999999999999</v>
      </c>
      <c r="P16" s="1"/>
      <c r="Q16" s="1"/>
      <c r="R16" s="1">
        <v>133400</v>
      </c>
      <c r="S16" s="1"/>
      <c r="T16">
        <v>27.94</v>
      </c>
      <c r="U16" s="1"/>
    </row>
    <row r="17" spans="14:21" x14ac:dyDescent="0.2">
      <c r="N17">
        <v>264</v>
      </c>
      <c r="O17">
        <v>3.6909999999999998</v>
      </c>
      <c r="P17" s="1"/>
      <c r="Q17" s="1"/>
      <c r="R17" s="1">
        <v>134200</v>
      </c>
      <c r="S17" s="1"/>
      <c r="T17">
        <v>27.396000000000001</v>
      </c>
      <c r="U17" s="1"/>
    </row>
    <row r="18" spans="14:21" x14ac:dyDescent="0.2">
      <c r="N18">
        <v>266</v>
      </c>
      <c r="O18">
        <v>3.67</v>
      </c>
      <c r="P18" s="1"/>
      <c r="Q18" s="1"/>
      <c r="R18" s="1">
        <v>135000</v>
      </c>
      <c r="S18" s="1"/>
      <c r="T18">
        <v>27.331</v>
      </c>
      <c r="U18" s="1"/>
    </row>
    <row r="19" spans="14:21" x14ac:dyDescent="0.2">
      <c r="N19">
        <v>268</v>
      </c>
      <c r="O19">
        <v>3.7519999999999998</v>
      </c>
      <c r="P19" s="1"/>
      <c r="Q19" s="1"/>
      <c r="R19" s="1">
        <v>136166.70000000001</v>
      </c>
      <c r="S19" s="1"/>
      <c r="T19">
        <v>27.577999999999999</v>
      </c>
      <c r="U19" s="1"/>
    </row>
    <row r="20" spans="14:21" x14ac:dyDescent="0.2">
      <c r="N20">
        <v>270</v>
      </c>
      <c r="O20">
        <v>3.6269999999999998</v>
      </c>
      <c r="P20" s="1"/>
      <c r="Q20" s="1"/>
      <c r="R20" s="1">
        <v>137333.29999999999</v>
      </c>
      <c r="S20" s="1"/>
      <c r="T20">
        <v>27.202000000000002</v>
      </c>
      <c r="U20" s="1"/>
    </row>
    <row r="21" spans="14:21" x14ac:dyDescent="0.2">
      <c r="N21" s="1"/>
      <c r="O21" s="1"/>
      <c r="P21" s="1"/>
      <c r="Q21" s="1"/>
      <c r="R21" s="1"/>
      <c r="S21" s="1"/>
      <c r="T21" s="1"/>
      <c r="U21" s="1"/>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1900-000000000000}"/>
  </hyperlinks>
  <pageMargins left="0.75" right="0.75" top="1" bottom="1" header="0.5" footer="0.5"/>
  <pageSetup orientation="portrait" horizontalDpi="4294967292" verticalDpi="429496729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A51"/>
  <sheetViews>
    <sheetView topLeftCell="J1" workbookViewId="0">
      <selection activeCell="V2" sqref="V2"/>
    </sheetView>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80</v>
      </c>
      <c r="B2">
        <v>5.1303330000000003</v>
      </c>
      <c r="C2">
        <v>-53.180349999999997</v>
      </c>
      <c r="D2" t="s">
        <v>179</v>
      </c>
      <c r="N2">
        <v>2292</v>
      </c>
      <c r="P2">
        <v>4.3099999999999996</v>
      </c>
      <c r="R2">
        <v>118750</v>
      </c>
      <c r="T2">
        <v>4.3099999999999996</v>
      </c>
      <c r="V2" t="s">
        <v>82</v>
      </c>
      <c r="W2" t="s">
        <v>238</v>
      </c>
      <c r="X2" t="s">
        <v>239</v>
      </c>
      <c r="Y2" t="s">
        <v>240</v>
      </c>
      <c r="Z2">
        <v>-2807</v>
      </c>
    </row>
    <row r="3" spans="1:27" x14ac:dyDescent="0.2">
      <c r="N3">
        <v>2307</v>
      </c>
      <c r="P3">
        <v>3.91</v>
      </c>
      <c r="R3">
        <v>119380</v>
      </c>
      <c r="T3">
        <v>3.91</v>
      </c>
    </row>
    <row r="4" spans="1:27" x14ac:dyDescent="0.2">
      <c r="N4">
        <v>2312</v>
      </c>
      <c r="P4">
        <v>3.91</v>
      </c>
      <c r="R4">
        <v>119580</v>
      </c>
      <c r="T4">
        <v>3.91</v>
      </c>
    </row>
    <row r="5" spans="1:27" x14ac:dyDescent="0.2">
      <c r="N5">
        <v>2322</v>
      </c>
      <c r="P5">
        <v>3.74</v>
      </c>
      <c r="R5">
        <v>120000</v>
      </c>
      <c r="T5">
        <v>3.74</v>
      </c>
    </row>
    <row r="6" spans="1:27" x14ac:dyDescent="0.2">
      <c r="N6">
        <v>2332</v>
      </c>
      <c r="P6">
        <v>4.3</v>
      </c>
      <c r="R6">
        <v>120650</v>
      </c>
      <c r="T6">
        <v>4.3</v>
      </c>
    </row>
    <row r="7" spans="1:27" x14ac:dyDescent="0.2">
      <c r="N7">
        <v>2337</v>
      </c>
      <c r="P7">
        <v>4.09</v>
      </c>
      <c r="R7">
        <v>120990</v>
      </c>
      <c r="T7">
        <v>4.09</v>
      </c>
    </row>
    <row r="8" spans="1:27" x14ac:dyDescent="0.2">
      <c r="N8">
        <v>2352</v>
      </c>
      <c r="P8">
        <v>4.93</v>
      </c>
      <c r="R8">
        <v>122000</v>
      </c>
      <c r="T8">
        <v>4.93</v>
      </c>
    </row>
    <row r="9" spans="1:27" x14ac:dyDescent="0.2">
      <c r="N9">
        <v>2367</v>
      </c>
      <c r="P9">
        <v>4.3</v>
      </c>
      <c r="R9">
        <v>123010</v>
      </c>
      <c r="T9">
        <v>4.3</v>
      </c>
    </row>
    <row r="10" spans="1:27" x14ac:dyDescent="0.2">
      <c r="N10">
        <v>2387</v>
      </c>
      <c r="P10">
        <v>5.05</v>
      </c>
      <c r="R10">
        <v>123960</v>
      </c>
      <c r="T10">
        <v>5.05</v>
      </c>
    </row>
    <row r="11" spans="1:27" x14ac:dyDescent="0.2">
      <c r="N11">
        <v>2398</v>
      </c>
      <c r="P11">
        <v>5.49</v>
      </c>
      <c r="R11">
        <v>124480</v>
      </c>
      <c r="T11">
        <v>5.49</v>
      </c>
    </row>
    <row r="12" spans="1:27" x14ac:dyDescent="0.2">
      <c r="N12">
        <v>2416</v>
      </c>
      <c r="P12">
        <v>4.78</v>
      </c>
      <c r="R12">
        <v>125340</v>
      </c>
      <c r="T12">
        <v>4.78</v>
      </c>
    </row>
    <row r="13" spans="1:27" x14ac:dyDescent="0.2">
      <c r="N13">
        <v>2423</v>
      </c>
      <c r="P13">
        <v>5.31</v>
      </c>
      <c r="R13">
        <v>125670</v>
      </c>
      <c r="T13">
        <v>5.31</v>
      </c>
    </row>
    <row r="14" spans="1:27" x14ac:dyDescent="0.2">
      <c r="N14">
        <v>2428</v>
      </c>
      <c r="P14">
        <v>4.4400000000000004</v>
      </c>
      <c r="R14">
        <v>125910</v>
      </c>
      <c r="T14">
        <v>4.4400000000000004</v>
      </c>
    </row>
    <row r="15" spans="1:27" x14ac:dyDescent="0.2">
      <c r="N15">
        <v>2451</v>
      </c>
      <c r="P15">
        <v>5.54</v>
      </c>
      <c r="R15">
        <v>127000</v>
      </c>
      <c r="T15">
        <v>5.54</v>
      </c>
    </row>
    <row r="16" spans="1:27" x14ac:dyDescent="0.2">
      <c r="N16">
        <v>2453</v>
      </c>
      <c r="P16">
        <v>5.2</v>
      </c>
      <c r="R16">
        <v>127160</v>
      </c>
      <c r="T16">
        <v>5.2</v>
      </c>
    </row>
    <row r="17" spans="14:20" x14ac:dyDescent="0.2">
      <c r="N17">
        <v>2458</v>
      </c>
      <c r="P17">
        <v>6.49</v>
      </c>
      <c r="R17">
        <v>127600</v>
      </c>
      <c r="T17">
        <v>6.49</v>
      </c>
    </row>
    <row r="18" spans="14:20" x14ac:dyDescent="0.2">
      <c r="N18">
        <v>2462</v>
      </c>
      <c r="P18">
        <v>6.14</v>
      </c>
      <c r="R18">
        <v>127950</v>
      </c>
      <c r="T18">
        <v>6.14</v>
      </c>
    </row>
    <row r="19" spans="14:20" x14ac:dyDescent="0.2">
      <c r="N19">
        <v>2471</v>
      </c>
      <c r="P19">
        <v>7.02</v>
      </c>
      <c r="R19">
        <v>128740</v>
      </c>
      <c r="T19">
        <v>7.02</v>
      </c>
    </row>
    <row r="20" spans="14:20" x14ac:dyDescent="0.2">
      <c r="N20">
        <v>2481</v>
      </c>
      <c r="P20">
        <v>5.94</v>
      </c>
      <c r="R20">
        <v>129880</v>
      </c>
      <c r="T20">
        <v>5.94</v>
      </c>
    </row>
    <row r="21" spans="14:20" x14ac:dyDescent="0.2">
      <c r="N21">
        <v>2486</v>
      </c>
      <c r="P21">
        <v>6.31</v>
      </c>
      <c r="R21">
        <v>130450</v>
      </c>
      <c r="T21">
        <v>6.31</v>
      </c>
    </row>
    <row r="22" spans="14:20" x14ac:dyDescent="0.2">
      <c r="N22">
        <v>2492</v>
      </c>
      <c r="P22">
        <v>4.83</v>
      </c>
      <c r="R22">
        <v>131140</v>
      </c>
      <c r="T22">
        <v>4.83</v>
      </c>
    </row>
    <row r="23" spans="14:20" x14ac:dyDescent="0.2">
      <c r="N23">
        <v>2496</v>
      </c>
      <c r="P23">
        <v>4.6500000000000004</v>
      </c>
      <c r="R23">
        <v>131580</v>
      </c>
      <c r="T23">
        <v>4.6500000000000004</v>
      </c>
    </row>
    <row r="24" spans="14:20" x14ac:dyDescent="0.2">
      <c r="N24">
        <v>2506</v>
      </c>
      <c r="P24">
        <v>3.6</v>
      </c>
      <c r="R24">
        <v>132070</v>
      </c>
      <c r="T24">
        <v>3.6</v>
      </c>
    </row>
    <row r="25" spans="14:20" x14ac:dyDescent="0.2">
      <c r="N25">
        <v>2512</v>
      </c>
      <c r="P25">
        <v>3.11</v>
      </c>
      <c r="R25">
        <v>132370</v>
      </c>
      <c r="T25">
        <v>3.11</v>
      </c>
    </row>
    <row r="26" spans="14:20" x14ac:dyDescent="0.2">
      <c r="N26">
        <v>2516</v>
      </c>
      <c r="P26">
        <v>2.5299999999999998</v>
      </c>
      <c r="R26">
        <v>132570</v>
      </c>
      <c r="T26">
        <v>2.5299999999999998</v>
      </c>
    </row>
    <row r="27" spans="14:20" x14ac:dyDescent="0.2">
      <c r="N27">
        <v>2522</v>
      </c>
      <c r="P27">
        <v>2.79</v>
      </c>
      <c r="R27">
        <v>132860</v>
      </c>
      <c r="T27">
        <v>2.79</v>
      </c>
    </row>
    <row r="28" spans="14:20" x14ac:dyDescent="0.2">
      <c r="N28">
        <v>2526</v>
      </c>
      <c r="P28">
        <v>2.57</v>
      </c>
      <c r="R28">
        <v>132970</v>
      </c>
      <c r="T28">
        <v>2.57</v>
      </c>
    </row>
    <row r="29" spans="14:20" x14ac:dyDescent="0.2">
      <c r="N29">
        <v>2536</v>
      </c>
      <c r="P29">
        <v>1.6</v>
      </c>
      <c r="R29">
        <v>133180</v>
      </c>
      <c r="T29">
        <v>1.6</v>
      </c>
    </row>
    <row r="30" spans="14:20" x14ac:dyDescent="0.2">
      <c r="N30">
        <v>2542</v>
      </c>
      <c r="P30">
        <v>1.49</v>
      </c>
      <c r="R30">
        <v>133310</v>
      </c>
      <c r="T30">
        <v>1.49</v>
      </c>
    </row>
    <row r="31" spans="14:20" x14ac:dyDescent="0.2">
      <c r="N31">
        <v>2546</v>
      </c>
      <c r="P31">
        <v>1.67</v>
      </c>
      <c r="R31">
        <v>133390</v>
      </c>
      <c r="T31">
        <v>1.67</v>
      </c>
    </row>
    <row r="32" spans="14:20" x14ac:dyDescent="0.2">
      <c r="N32">
        <v>2552</v>
      </c>
      <c r="P32">
        <v>1.64</v>
      </c>
      <c r="R32">
        <v>133520</v>
      </c>
      <c r="T32">
        <v>1.64</v>
      </c>
    </row>
    <row r="33" spans="14:20" x14ac:dyDescent="0.2">
      <c r="N33">
        <v>2554</v>
      </c>
      <c r="P33">
        <v>1.05</v>
      </c>
      <c r="R33">
        <v>133560</v>
      </c>
      <c r="T33">
        <v>1.05</v>
      </c>
    </row>
    <row r="34" spans="14:20" x14ac:dyDescent="0.2">
      <c r="N34">
        <v>2559</v>
      </c>
      <c r="P34">
        <v>0.37</v>
      </c>
      <c r="R34">
        <v>133660</v>
      </c>
      <c r="T34">
        <v>0.37</v>
      </c>
    </row>
    <row r="35" spans="14:20" x14ac:dyDescent="0.2">
      <c r="N35">
        <v>2577</v>
      </c>
      <c r="P35">
        <v>1.36</v>
      </c>
      <c r="R35">
        <v>134040</v>
      </c>
      <c r="T35">
        <v>1.36</v>
      </c>
    </row>
    <row r="36" spans="14:20" x14ac:dyDescent="0.2">
      <c r="N36">
        <v>2582</v>
      </c>
      <c r="P36">
        <v>0.94</v>
      </c>
      <c r="R36">
        <v>134150</v>
      </c>
      <c r="T36">
        <v>0.94</v>
      </c>
    </row>
    <row r="37" spans="14:20" x14ac:dyDescent="0.2">
      <c r="N37">
        <v>2589</v>
      </c>
      <c r="P37">
        <v>0.61</v>
      </c>
      <c r="R37">
        <v>134290</v>
      </c>
      <c r="T37">
        <v>0.61</v>
      </c>
    </row>
    <row r="38" spans="14:20" x14ac:dyDescent="0.2">
      <c r="N38">
        <v>2607</v>
      </c>
      <c r="P38">
        <v>0.14000000000000001</v>
      </c>
      <c r="R38">
        <v>134670</v>
      </c>
      <c r="T38">
        <v>0.14000000000000001</v>
      </c>
    </row>
    <row r="39" spans="14:20" x14ac:dyDescent="0.2">
      <c r="N39">
        <v>2619</v>
      </c>
      <c r="P39">
        <v>0.4</v>
      </c>
      <c r="R39">
        <v>134920</v>
      </c>
      <c r="T39">
        <v>0.4</v>
      </c>
    </row>
    <row r="40" spans="14:20" x14ac:dyDescent="0.2">
      <c r="N40">
        <v>2632</v>
      </c>
      <c r="P40">
        <v>0.52</v>
      </c>
      <c r="R40">
        <v>135200</v>
      </c>
      <c r="T40">
        <v>0.52</v>
      </c>
    </row>
    <row r="41" spans="14:20" x14ac:dyDescent="0.2">
      <c r="N41">
        <v>2636</v>
      </c>
      <c r="P41">
        <v>-0.03</v>
      </c>
      <c r="R41">
        <v>135280</v>
      </c>
      <c r="T41">
        <v>-0.03</v>
      </c>
    </row>
    <row r="42" spans="14:20" x14ac:dyDescent="0.2">
      <c r="N42">
        <v>2642</v>
      </c>
      <c r="P42">
        <v>-0.01</v>
      </c>
      <c r="R42">
        <v>135410</v>
      </c>
      <c r="T42">
        <v>-0.01</v>
      </c>
    </row>
    <row r="43" spans="14:20" x14ac:dyDescent="0.2">
      <c r="N43">
        <v>2649</v>
      </c>
      <c r="P43">
        <v>-0.69</v>
      </c>
      <c r="R43">
        <v>135680</v>
      </c>
      <c r="T43">
        <v>-0.69</v>
      </c>
    </row>
    <row r="44" spans="14:20" x14ac:dyDescent="0.2">
      <c r="N44">
        <v>2661</v>
      </c>
      <c r="P44">
        <v>-1.7</v>
      </c>
      <c r="R44">
        <v>136410</v>
      </c>
      <c r="T44">
        <v>-1.7</v>
      </c>
    </row>
    <row r="45" spans="14:20" x14ac:dyDescent="0.2">
      <c r="N45">
        <v>2671</v>
      </c>
      <c r="P45">
        <v>-1.35</v>
      </c>
      <c r="R45">
        <v>137020</v>
      </c>
      <c r="T45">
        <v>-1.35</v>
      </c>
    </row>
    <row r="46" spans="14:20" x14ac:dyDescent="0.2">
      <c r="N46">
        <v>2679</v>
      </c>
      <c r="P46">
        <v>-2.2000000000000002</v>
      </c>
      <c r="R46">
        <v>137510</v>
      </c>
      <c r="T46">
        <v>-2.2000000000000002</v>
      </c>
    </row>
    <row r="47" spans="14:20" x14ac:dyDescent="0.2">
      <c r="N47">
        <v>2691</v>
      </c>
      <c r="P47">
        <v>-1.74</v>
      </c>
      <c r="R47">
        <v>138250</v>
      </c>
      <c r="T47">
        <v>-1.74</v>
      </c>
    </row>
    <row r="48" spans="14:20" x14ac:dyDescent="0.2">
      <c r="N48">
        <v>2696</v>
      </c>
      <c r="P48">
        <v>-1.34</v>
      </c>
      <c r="R48">
        <v>138550</v>
      </c>
      <c r="T48">
        <v>-1.34</v>
      </c>
    </row>
    <row r="49" spans="14:20" x14ac:dyDescent="0.2">
      <c r="N49">
        <v>2701</v>
      </c>
      <c r="P49">
        <v>-1.19</v>
      </c>
      <c r="R49">
        <v>138860</v>
      </c>
      <c r="T49">
        <v>-1.19</v>
      </c>
    </row>
    <row r="50" spans="14:20" x14ac:dyDescent="0.2">
      <c r="N50">
        <v>2709</v>
      </c>
      <c r="P50">
        <v>-2.33</v>
      </c>
      <c r="R50">
        <v>139350</v>
      </c>
      <c r="T50">
        <v>-2.33</v>
      </c>
    </row>
    <row r="51" spans="14:20" x14ac:dyDescent="0.2">
      <c r="N51">
        <v>2716</v>
      </c>
      <c r="P51">
        <v>-2.69</v>
      </c>
      <c r="R51">
        <v>139780</v>
      </c>
      <c r="T51">
        <v>-2.69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A53"/>
  <sheetViews>
    <sheetView topLeftCell="K1" workbookViewId="0">
      <selection activeCell="Y12" sqref="Y12"/>
    </sheetView>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83</v>
      </c>
      <c r="B2">
        <v>159.24432999999999</v>
      </c>
      <c r="C2">
        <v>-2.8833000000000001E-2</v>
      </c>
      <c r="D2" t="s">
        <v>199</v>
      </c>
      <c r="N2">
        <v>198</v>
      </c>
      <c r="O2">
        <v>3.74</v>
      </c>
      <c r="P2">
        <v>27.49</v>
      </c>
      <c r="R2">
        <v>115480</v>
      </c>
      <c r="T2">
        <v>27.49</v>
      </c>
      <c r="V2" t="s">
        <v>85</v>
      </c>
      <c r="W2" t="s">
        <v>241</v>
      </c>
      <c r="X2" t="s">
        <v>242</v>
      </c>
      <c r="Y2" t="s">
        <v>243</v>
      </c>
      <c r="Z2">
        <v>-2362</v>
      </c>
    </row>
    <row r="3" spans="1:27" x14ac:dyDescent="0.2">
      <c r="N3">
        <v>199</v>
      </c>
      <c r="O3">
        <v>3.7</v>
      </c>
      <c r="P3">
        <v>27.38</v>
      </c>
      <c r="R3">
        <v>116260</v>
      </c>
      <c r="T3">
        <v>27.38</v>
      </c>
    </row>
    <row r="4" spans="1:27" x14ac:dyDescent="0.2">
      <c r="N4">
        <v>200</v>
      </c>
      <c r="O4">
        <v>3.71</v>
      </c>
      <c r="P4">
        <v>27.4</v>
      </c>
      <c r="R4">
        <v>116730</v>
      </c>
      <c r="T4">
        <v>27.4</v>
      </c>
    </row>
    <row r="5" spans="1:27" x14ac:dyDescent="0.2">
      <c r="N5">
        <v>201</v>
      </c>
      <c r="O5">
        <v>3.94</v>
      </c>
      <c r="P5">
        <v>28.01</v>
      </c>
      <c r="R5">
        <v>117090</v>
      </c>
      <c r="T5">
        <v>28.01</v>
      </c>
    </row>
    <row r="6" spans="1:27" x14ac:dyDescent="0.2">
      <c r="N6">
        <v>202</v>
      </c>
      <c r="O6">
        <v>4.1100000000000003</v>
      </c>
      <c r="P6">
        <v>28.46</v>
      </c>
      <c r="R6">
        <v>117460</v>
      </c>
      <c r="T6">
        <v>28.46</v>
      </c>
    </row>
    <row r="7" spans="1:27" x14ac:dyDescent="0.2">
      <c r="N7">
        <v>203</v>
      </c>
      <c r="O7">
        <v>3.77</v>
      </c>
      <c r="P7">
        <v>27.56</v>
      </c>
      <c r="R7">
        <v>117820</v>
      </c>
      <c r="T7">
        <v>27.56</v>
      </c>
    </row>
    <row r="8" spans="1:27" x14ac:dyDescent="0.2">
      <c r="N8">
        <v>204</v>
      </c>
      <c r="O8">
        <v>3.78</v>
      </c>
      <c r="P8">
        <v>27.59</v>
      </c>
      <c r="R8">
        <v>118180</v>
      </c>
      <c r="T8">
        <v>27.59</v>
      </c>
    </row>
    <row r="9" spans="1:27" x14ac:dyDescent="0.2">
      <c r="N9">
        <v>205</v>
      </c>
      <c r="O9">
        <v>3.61</v>
      </c>
      <c r="P9">
        <v>27.12</v>
      </c>
      <c r="R9">
        <v>118550</v>
      </c>
      <c r="T9">
        <v>27.12</v>
      </c>
    </row>
    <row r="10" spans="1:27" x14ac:dyDescent="0.2">
      <c r="N10">
        <v>206</v>
      </c>
      <c r="O10">
        <v>3.68</v>
      </c>
      <c r="P10">
        <v>27.31</v>
      </c>
      <c r="R10">
        <v>118910</v>
      </c>
      <c r="T10">
        <v>27.31</v>
      </c>
    </row>
    <row r="11" spans="1:27" x14ac:dyDescent="0.2">
      <c r="N11">
        <v>207</v>
      </c>
      <c r="O11">
        <v>4.25</v>
      </c>
      <c r="P11">
        <v>28.79</v>
      </c>
      <c r="R11">
        <v>119280</v>
      </c>
      <c r="T11">
        <v>28.79</v>
      </c>
    </row>
    <row r="12" spans="1:27" x14ac:dyDescent="0.2">
      <c r="N12">
        <v>208</v>
      </c>
      <c r="O12">
        <v>3.76</v>
      </c>
      <c r="P12">
        <v>27.54</v>
      </c>
      <c r="R12">
        <v>119640</v>
      </c>
      <c r="T12">
        <v>27.54</v>
      </c>
    </row>
    <row r="13" spans="1:27" x14ac:dyDescent="0.2">
      <c r="N13">
        <v>209</v>
      </c>
      <c r="O13">
        <v>4.1900000000000004</v>
      </c>
      <c r="P13">
        <v>28.65</v>
      </c>
      <c r="R13">
        <v>120000</v>
      </c>
      <c r="T13">
        <v>28.65</v>
      </c>
    </row>
    <row r="14" spans="1:27" x14ac:dyDescent="0.2">
      <c r="N14">
        <v>210</v>
      </c>
      <c r="O14">
        <v>4.21</v>
      </c>
      <c r="P14">
        <v>28.71</v>
      </c>
      <c r="R14">
        <v>120360</v>
      </c>
      <c r="T14">
        <v>28.71</v>
      </c>
    </row>
    <row r="15" spans="1:27" x14ac:dyDescent="0.2">
      <c r="N15">
        <v>211</v>
      </c>
      <c r="O15">
        <v>4.3899999999999997</v>
      </c>
      <c r="P15">
        <v>29.14</v>
      </c>
      <c r="R15">
        <v>120600</v>
      </c>
      <c r="T15">
        <v>29.14</v>
      </c>
    </row>
    <row r="16" spans="1:27" x14ac:dyDescent="0.2">
      <c r="N16">
        <v>212</v>
      </c>
      <c r="O16">
        <v>3.96</v>
      </c>
      <c r="P16">
        <v>28.07</v>
      </c>
      <c r="R16">
        <v>120840</v>
      </c>
      <c r="T16">
        <v>28.07</v>
      </c>
    </row>
    <row r="17" spans="14:20" x14ac:dyDescent="0.2">
      <c r="N17">
        <v>213</v>
      </c>
      <c r="O17">
        <v>4.3</v>
      </c>
      <c r="P17">
        <v>28.94</v>
      </c>
      <c r="R17">
        <v>121080</v>
      </c>
      <c r="T17">
        <v>28.94</v>
      </c>
    </row>
    <row r="18" spans="14:20" x14ac:dyDescent="0.2">
      <c r="N18">
        <v>214</v>
      </c>
      <c r="O18">
        <v>4.3099999999999996</v>
      </c>
      <c r="P18">
        <v>28.96</v>
      </c>
      <c r="R18">
        <v>121330</v>
      </c>
      <c r="T18">
        <v>28.96</v>
      </c>
    </row>
    <row r="19" spans="14:20" x14ac:dyDescent="0.2">
      <c r="N19">
        <v>215</v>
      </c>
      <c r="O19">
        <v>4.1900000000000004</v>
      </c>
      <c r="P19">
        <v>28.65</v>
      </c>
      <c r="R19">
        <v>121570</v>
      </c>
      <c r="T19">
        <v>28.65</v>
      </c>
    </row>
    <row r="20" spans="14:20" x14ac:dyDescent="0.2">
      <c r="N20">
        <v>216</v>
      </c>
      <c r="O20">
        <v>4.55</v>
      </c>
      <c r="P20">
        <v>29.5</v>
      </c>
      <c r="R20">
        <v>121810</v>
      </c>
      <c r="T20">
        <v>29.5</v>
      </c>
    </row>
    <row r="21" spans="14:20" x14ac:dyDescent="0.2">
      <c r="N21">
        <v>217</v>
      </c>
      <c r="O21">
        <v>4.53</v>
      </c>
      <c r="P21">
        <v>29.46</v>
      </c>
      <c r="R21">
        <v>122050</v>
      </c>
      <c r="T21">
        <v>29.46</v>
      </c>
    </row>
    <row r="22" spans="14:20" x14ac:dyDescent="0.2">
      <c r="N22">
        <v>218</v>
      </c>
      <c r="O22">
        <v>4.3899999999999997</v>
      </c>
      <c r="P22">
        <v>29.14</v>
      </c>
      <c r="R22">
        <v>122300</v>
      </c>
      <c r="T22">
        <v>29.14</v>
      </c>
    </row>
    <row r="23" spans="14:20" x14ac:dyDescent="0.2">
      <c r="N23">
        <v>219</v>
      </c>
      <c r="O23">
        <v>4.5999999999999996</v>
      </c>
      <c r="P23">
        <v>29.62</v>
      </c>
      <c r="R23">
        <v>122540</v>
      </c>
      <c r="T23">
        <v>29.62</v>
      </c>
    </row>
    <row r="24" spans="14:20" x14ac:dyDescent="0.2">
      <c r="N24">
        <v>220</v>
      </c>
      <c r="O24">
        <v>4.58</v>
      </c>
      <c r="P24">
        <v>29.58</v>
      </c>
      <c r="R24">
        <v>122780</v>
      </c>
      <c r="T24">
        <v>29.58</v>
      </c>
    </row>
    <row r="25" spans="14:20" x14ac:dyDescent="0.2">
      <c r="N25">
        <v>221</v>
      </c>
      <c r="O25">
        <v>4.58</v>
      </c>
      <c r="P25">
        <v>29.58</v>
      </c>
      <c r="R25">
        <v>123160</v>
      </c>
      <c r="T25">
        <v>29.58</v>
      </c>
    </row>
    <row r="26" spans="14:20" x14ac:dyDescent="0.2">
      <c r="N26">
        <v>222</v>
      </c>
      <c r="O26">
        <v>4.82</v>
      </c>
      <c r="P26">
        <v>30.09</v>
      </c>
      <c r="R26">
        <v>123610</v>
      </c>
      <c r="T26">
        <v>30.09</v>
      </c>
    </row>
    <row r="27" spans="14:20" x14ac:dyDescent="0.2">
      <c r="N27">
        <v>223</v>
      </c>
      <c r="O27">
        <v>4.76</v>
      </c>
      <c r="P27">
        <v>29.97</v>
      </c>
      <c r="R27">
        <v>124070</v>
      </c>
      <c r="T27">
        <v>29.97</v>
      </c>
    </row>
    <row r="28" spans="14:20" x14ac:dyDescent="0.2">
      <c r="N28">
        <v>224</v>
      </c>
      <c r="O28">
        <v>4.66</v>
      </c>
      <c r="P28">
        <v>29.76</v>
      </c>
      <c r="R28">
        <v>124520</v>
      </c>
      <c r="T28">
        <v>29.76</v>
      </c>
    </row>
    <row r="29" spans="14:20" x14ac:dyDescent="0.2">
      <c r="N29">
        <v>225</v>
      </c>
      <c r="O29">
        <v>5.03</v>
      </c>
      <c r="P29">
        <v>30.54</v>
      </c>
      <c r="R29">
        <v>124980</v>
      </c>
      <c r="T29">
        <v>30.54</v>
      </c>
    </row>
    <row r="30" spans="14:20" x14ac:dyDescent="0.2">
      <c r="N30">
        <v>226</v>
      </c>
      <c r="O30">
        <v>4.8</v>
      </c>
      <c r="P30">
        <v>30.05</v>
      </c>
      <c r="R30">
        <v>125430</v>
      </c>
      <c r="T30">
        <v>30.05</v>
      </c>
    </row>
    <row r="31" spans="14:20" x14ac:dyDescent="0.2">
      <c r="N31">
        <v>227</v>
      </c>
      <c r="O31">
        <v>4.5</v>
      </c>
      <c r="P31">
        <v>29.4</v>
      </c>
      <c r="R31">
        <v>125890</v>
      </c>
      <c r="T31">
        <v>29.4</v>
      </c>
    </row>
    <row r="32" spans="14:20" x14ac:dyDescent="0.2">
      <c r="N32">
        <v>228</v>
      </c>
      <c r="O32">
        <v>4.83</v>
      </c>
      <c r="P32">
        <v>30.12</v>
      </c>
      <c r="R32">
        <v>126340</v>
      </c>
      <c r="T32">
        <v>30.12</v>
      </c>
    </row>
    <row r="33" spans="14:20" x14ac:dyDescent="0.2">
      <c r="N33">
        <v>229</v>
      </c>
      <c r="O33">
        <v>4.74</v>
      </c>
      <c r="P33">
        <v>29.92</v>
      </c>
      <c r="R33">
        <v>126790</v>
      </c>
      <c r="T33">
        <v>29.92</v>
      </c>
    </row>
    <row r="34" spans="14:20" x14ac:dyDescent="0.2">
      <c r="N34">
        <v>230</v>
      </c>
      <c r="O34">
        <v>4.6900000000000004</v>
      </c>
      <c r="P34">
        <v>29.83</v>
      </c>
      <c r="R34">
        <v>127250</v>
      </c>
      <c r="T34">
        <v>29.83</v>
      </c>
    </row>
    <row r="35" spans="14:20" x14ac:dyDescent="0.2">
      <c r="N35">
        <v>231</v>
      </c>
      <c r="O35">
        <v>4.7300000000000004</v>
      </c>
      <c r="P35">
        <v>29.9</v>
      </c>
      <c r="R35">
        <v>127700</v>
      </c>
      <c r="T35">
        <v>29.9</v>
      </c>
    </row>
    <row r="36" spans="14:20" x14ac:dyDescent="0.2">
      <c r="N36">
        <v>232</v>
      </c>
      <c r="O36">
        <v>5</v>
      </c>
      <c r="P36">
        <v>30.48</v>
      </c>
      <c r="R36">
        <v>128160</v>
      </c>
      <c r="T36">
        <v>30.48</v>
      </c>
    </row>
    <row r="37" spans="14:20" x14ac:dyDescent="0.2">
      <c r="N37">
        <v>233</v>
      </c>
      <c r="O37">
        <v>4.8600000000000003</v>
      </c>
      <c r="P37">
        <v>30.18</v>
      </c>
      <c r="R37">
        <v>128610</v>
      </c>
      <c r="T37">
        <v>30.18</v>
      </c>
    </row>
    <row r="38" spans="14:20" x14ac:dyDescent="0.2">
      <c r="N38">
        <v>234</v>
      </c>
      <c r="O38">
        <v>4.95</v>
      </c>
      <c r="P38">
        <v>30.38</v>
      </c>
      <c r="R38">
        <v>129070</v>
      </c>
      <c r="T38">
        <v>30.38</v>
      </c>
    </row>
    <row r="39" spans="14:20" x14ac:dyDescent="0.2">
      <c r="N39">
        <v>235</v>
      </c>
      <c r="O39">
        <v>4.9800000000000004</v>
      </c>
      <c r="P39">
        <v>30.43</v>
      </c>
      <c r="R39">
        <v>129520</v>
      </c>
      <c r="T39">
        <v>30.43</v>
      </c>
    </row>
    <row r="40" spans="14:20" x14ac:dyDescent="0.2">
      <c r="N40">
        <v>236</v>
      </c>
      <c r="O40">
        <v>4.97</v>
      </c>
      <c r="P40">
        <v>30.41</v>
      </c>
      <c r="R40">
        <v>129980</v>
      </c>
      <c r="T40">
        <v>30.41</v>
      </c>
    </row>
    <row r="41" spans="14:20" x14ac:dyDescent="0.2">
      <c r="N41">
        <v>237</v>
      </c>
      <c r="O41">
        <v>4.9000000000000004</v>
      </c>
      <c r="P41">
        <v>30.27</v>
      </c>
      <c r="R41">
        <v>130430</v>
      </c>
      <c r="T41">
        <v>30.27</v>
      </c>
    </row>
    <row r="42" spans="14:20" x14ac:dyDescent="0.2">
      <c r="N42">
        <v>238</v>
      </c>
      <c r="O42">
        <v>4.55</v>
      </c>
      <c r="P42">
        <v>29.51</v>
      </c>
      <c r="R42">
        <v>130840</v>
      </c>
      <c r="T42">
        <v>29.51</v>
      </c>
    </row>
    <row r="43" spans="14:20" x14ac:dyDescent="0.2">
      <c r="N43">
        <v>239</v>
      </c>
      <c r="O43">
        <v>4.2699999999999996</v>
      </c>
      <c r="P43">
        <v>28.85</v>
      </c>
      <c r="R43">
        <v>131240</v>
      </c>
      <c r="T43">
        <v>28.85</v>
      </c>
    </row>
    <row r="44" spans="14:20" x14ac:dyDescent="0.2">
      <c r="N44">
        <v>240</v>
      </c>
      <c r="O44">
        <v>3.79</v>
      </c>
      <c r="P44">
        <v>27.62</v>
      </c>
      <c r="R44">
        <v>131650</v>
      </c>
      <c r="T44">
        <v>27.62</v>
      </c>
    </row>
    <row r="45" spans="14:20" x14ac:dyDescent="0.2">
      <c r="N45">
        <v>241</v>
      </c>
      <c r="O45">
        <v>3.98</v>
      </c>
      <c r="P45">
        <v>28.12</v>
      </c>
      <c r="R45">
        <v>132050</v>
      </c>
      <c r="T45">
        <v>28.12</v>
      </c>
    </row>
    <row r="46" spans="14:20" x14ac:dyDescent="0.2">
      <c r="N46">
        <v>242</v>
      </c>
      <c r="O46">
        <v>4.04</v>
      </c>
      <c r="P46">
        <v>28.28</v>
      </c>
      <c r="R46">
        <v>132460</v>
      </c>
      <c r="T46">
        <v>28.28</v>
      </c>
    </row>
    <row r="47" spans="14:20" x14ac:dyDescent="0.2">
      <c r="N47">
        <v>243</v>
      </c>
      <c r="O47">
        <v>3.86</v>
      </c>
      <c r="P47">
        <v>27.82</v>
      </c>
      <c r="R47">
        <v>132860</v>
      </c>
      <c r="T47">
        <v>27.82</v>
      </c>
    </row>
    <row r="48" spans="14:20" x14ac:dyDescent="0.2">
      <c r="N48">
        <v>244</v>
      </c>
      <c r="O48">
        <v>3.92</v>
      </c>
      <c r="P48">
        <v>27.97</v>
      </c>
      <c r="R48">
        <v>133390</v>
      </c>
      <c r="T48">
        <v>27.97</v>
      </c>
    </row>
    <row r="49" spans="14:20" x14ac:dyDescent="0.2">
      <c r="N49">
        <v>245</v>
      </c>
      <c r="O49">
        <v>3.62</v>
      </c>
      <c r="P49">
        <v>27.16</v>
      </c>
      <c r="R49">
        <v>134000</v>
      </c>
      <c r="T49">
        <v>27.16</v>
      </c>
    </row>
    <row r="50" spans="14:20" x14ac:dyDescent="0.2">
      <c r="N50">
        <v>246</v>
      </c>
      <c r="O50">
        <v>3.87</v>
      </c>
      <c r="P50">
        <v>27.85</v>
      </c>
      <c r="R50">
        <v>134950</v>
      </c>
      <c r="T50">
        <v>27.85</v>
      </c>
    </row>
    <row r="51" spans="14:20" x14ac:dyDescent="0.2">
      <c r="N51">
        <v>247</v>
      </c>
      <c r="O51">
        <v>3.65</v>
      </c>
      <c r="P51">
        <v>27.24</v>
      </c>
      <c r="R51">
        <v>136160</v>
      </c>
      <c r="T51">
        <v>27.24</v>
      </c>
    </row>
    <row r="52" spans="14:20" x14ac:dyDescent="0.2">
      <c r="N52">
        <v>248</v>
      </c>
      <c r="O52">
        <v>3.8</v>
      </c>
      <c r="P52">
        <v>27.66</v>
      </c>
      <c r="R52">
        <v>137510</v>
      </c>
      <c r="T52">
        <v>27.66</v>
      </c>
    </row>
    <row r="53" spans="14:20" x14ac:dyDescent="0.2">
      <c r="N53">
        <v>249</v>
      </c>
      <c r="O53">
        <v>3.77</v>
      </c>
      <c r="P53">
        <v>27.57</v>
      </c>
      <c r="R53">
        <v>139030</v>
      </c>
      <c r="T53">
        <v>27.57</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A1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86</v>
      </c>
      <c r="B2">
        <v>159.35</v>
      </c>
      <c r="C2">
        <v>0.32</v>
      </c>
      <c r="D2" t="s">
        <v>199</v>
      </c>
      <c r="N2">
        <v>248</v>
      </c>
      <c r="O2">
        <v>3.76</v>
      </c>
      <c r="P2">
        <v>28.3</v>
      </c>
      <c r="R2">
        <v>117200</v>
      </c>
      <c r="T2">
        <v>28.3</v>
      </c>
      <c r="V2" t="s">
        <v>88</v>
      </c>
      <c r="W2" t="s">
        <v>244</v>
      </c>
      <c r="Y2" t="s">
        <v>245</v>
      </c>
      <c r="Z2">
        <v>-2520</v>
      </c>
    </row>
    <row r="3" spans="1:27" x14ac:dyDescent="0.2">
      <c r="N3">
        <v>255</v>
      </c>
      <c r="O3">
        <v>3.94</v>
      </c>
      <c r="P3">
        <v>28.8</v>
      </c>
      <c r="R3">
        <v>122000</v>
      </c>
      <c r="T3">
        <v>28.8</v>
      </c>
    </row>
    <row r="4" spans="1:27" x14ac:dyDescent="0.2">
      <c r="N4">
        <v>258</v>
      </c>
      <c r="O4">
        <v>4.22</v>
      </c>
      <c r="P4">
        <v>29.6</v>
      </c>
      <c r="R4">
        <v>123400</v>
      </c>
      <c r="T4">
        <v>29.6</v>
      </c>
    </row>
    <row r="5" spans="1:27" x14ac:dyDescent="0.2">
      <c r="N5">
        <v>263</v>
      </c>
      <c r="O5">
        <v>4.05</v>
      </c>
      <c r="P5">
        <v>29.1</v>
      </c>
      <c r="R5">
        <v>125700</v>
      </c>
      <c r="T5">
        <v>29.1</v>
      </c>
    </row>
    <row r="6" spans="1:27" x14ac:dyDescent="0.2">
      <c r="N6">
        <v>268</v>
      </c>
      <c r="O6">
        <v>4.18</v>
      </c>
      <c r="P6">
        <v>29.5</v>
      </c>
      <c r="R6">
        <v>128000</v>
      </c>
      <c r="T6">
        <v>29.5</v>
      </c>
    </row>
    <row r="7" spans="1:27" x14ac:dyDescent="0.2">
      <c r="N7">
        <v>270</v>
      </c>
      <c r="O7">
        <v>3.99</v>
      </c>
      <c r="P7">
        <v>29</v>
      </c>
      <c r="R7">
        <v>128900</v>
      </c>
      <c r="T7">
        <v>29</v>
      </c>
    </row>
    <row r="8" spans="1:27" x14ac:dyDescent="0.2">
      <c r="N8">
        <v>273</v>
      </c>
      <c r="O8">
        <v>3.84</v>
      </c>
      <c r="P8">
        <v>28.5</v>
      </c>
      <c r="R8">
        <v>130200</v>
      </c>
      <c r="T8">
        <v>28.5</v>
      </c>
    </row>
    <row r="9" spans="1:27" x14ac:dyDescent="0.2">
      <c r="N9">
        <v>278</v>
      </c>
      <c r="O9">
        <v>3.55</v>
      </c>
      <c r="P9">
        <v>27.7</v>
      </c>
      <c r="R9">
        <v>132400</v>
      </c>
      <c r="T9">
        <v>27.7</v>
      </c>
    </row>
    <row r="10" spans="1:27" x14ac:dyDescent="0.2">
      <c r="N10">
        <v>280</v>
      </c>
      <c r="O10">
        <v>3.23</v>
      </c>
      <c r="P10">
        <v>26.6</v>
      </c>
      <c r="R10">
        <v>133300</v>
      </c>
      <c r="T10">
        <v>26.6</v>
      </c>
    </row>
    <row r="11" spans="1:27" x14ac:dyDescent="0.2">
      <c r="N11">
        <v>284</v>
      </c>
      <c r="O11">
        <v>3.33</v>
      </c>
      <c r="P11">
        <v>26.9</v>
      </c>
      <c r="R11">
        <v>135000</v>
      </c>
      <c r="T11">
        <v>26.9</v>
      </c>
    </row>
    <row r="12" spans="1:27" x14ac:dyDescent="0.2">
      <c r="N12">
        <v>288</v>
      </c>
      <c r="O12">
        <v>3.19</v>
      </c>
      <c r="P12">
        <v>26.4</v>
      </c>
      <c r="R12">
        <v>138400</v>
      </c>
      <c r="T12">
        <v>26.4</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A1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89</v>
      </c>
      <c r="B2">
        <v>44.4</v>
      </c>
      <c r="C2">
        <v>12.15</v>
      </c>
      <c r="D2" t="s">
        <v>28</v>
      </c>
      <c r="N2">
        <v>666.5</v>
      </c>
      <c r="O2">
        <v>0.98599999999999999</v>
      </c>
      <c r="P2">
        <v>29.1</v>
      </c>
      <c r="R2">
        <v>116428</v>
      </c>
      <c r="T2">
        <v>29.1</v>
      </c>
      <c r="V2" t="s">
        <v>91</v>
      </c>
      <c r="W2" t="s">
        <v>246</v>
      </c>
      <c r="X2" t="s">
        <v>247</v>
      </c>
      <c r="Y2" t="s">
        <v>248</v>
      </c>
      <c r="Z2">
        <v>-738</v>
      </c>
    </row>
    <row r="3" spans="1:27" x14ac:dyDescent="0.2">
      <c r="N3">
        <v>676.5</v>
      </c>
      <c r="O3">
        <v>0.98399999999999999</v>
      </c>
      <c r="P3">
        <v>29</v>
      </c>
      <c r="R3">
        <v>118378</v>
      </c>
      <c r="T3">
        <v>29</v>
      </c>
    </row>
    <row r="4" spans="1:27" x14ac:dyDescent="0.2">
      <c r="N4">
        <v>686.5</v>
      </c>
      <c r="O4">
        <v>0.99299999999999999</v>
      </c>
      <c r="P4">
        <v>29.4</v>
      </c>
      <c r="R4">
        <v>120327</v>
      </c>
      <c r="T4">
        <v>29.4</v>
      </c>
    </row>
    <row r="5" spans="1:27" x14ac:dyDescent="0.2">
      <c r="N5">
        <v>696.5</v>
      </c>
      <c r="O5">
        <v>0.99099999999999999</v>
      </c>
      <c r="P5">
        <v>29.3</v>
      </c>
      <c r="R5">
        <v>122287</v>
      </c>
      <c r="T5">
        <v>29.3</v>
      </c>
    </row>
    <row r="6" spans="1:27" x14ac:dyDescent="0.2">
      <c r="N6">
        <v>706.5</v>
      </c>
      <c r="O6">
        <v>0.98299999999999998</v>
      </c>
      <c r="P6">
        <v>29</v>
      </c>
      <c r="R6">
        <v>124241</v>
      </c>
      <c r="T6">
        <v>29</v>
      </c>
    </row>
    <row r="7" spans="1:27" x14ac:dyDescent="0.2">
      <c r="N7">
        <v>716.5</v>
      </c>
      <c r="O7">
        <v>0.98199999999999998</v>
      </c>
      <c r="P7">
        <v>29</v>
      </c>
      <c r="R7">
        <v>126192</v>
      </c>
      <c r="T7">
        <v>29</v>
      </c>
    </row>
    <row r="8" spans="1:27" x14ac:dyDescent="0.2">
      <c r="N8">
        <v>726.5</v>
      </c>
      <c r="O8">
        <v>0.98499999999999999</v>
      </c>
      <c r="P8">
        <v>29.1</v>
      </c>
      <c r="R8">
        <v>128134</v>
      </c>
      <c r="T8">
        <v>29.1</v>
      </c>
    </row>
    <row r="9" spans="1:27" x14ac:dyDescent="0.2">
      <c r="N9">
        <v>736.5</v>
      </c>
      <c r="O9">
        <v>0.99099999999999999</v>
      </c>
      <c r="P9">
        <v>29.3</v>
      </c>
      <c r="R9">
        <v>130055</v>
      </c>
      <c r="T9">
        <v>29.3</v>
      </c>
    </row>
    <row r="10" spans="1:27" x14ac:dyDescent="0.2">
      <c r="N10">
        <v>746.5</v>
      </c>
      <c r="O10">
        <v>0.96699999999999997</v>
      </c>
      <c r="P10">
        <v>28.3</v>
      </c>
      <c r="R10">
        <v>131953</v>
      </c>
      <c r="T10">
        <v>28.3</v>
      </c>
    </row>
    <row r="11" spans="1:27" x14ac:dyDescent="0.2">
      <c r="N11">
        <v>756.5</v>
      </c>
      <c r="O11">
        <v>0.98099999999999998</v>
      </c>
      <c r="P11">
        <v>28.9</v>
      </c>
      <c r="R11">
        <v>133785</v>
      </c>
      <c r="T11">
        <v>28.9</v>
      </c>
    </row>
    <row r="12" spans="1:27" x14ac:dyDescent="0.2">
      <c r="N12">
        <v>766.5</v>
      </c>
      <c r="O12">
        <v>0.97099999999999997</v>
      </c>
      <c r="P12">
        <v>28.5</v>
      </c>
      <c r="R12">
        <v>135533</v>
      </c>
      <c r="T12">
        <v>28.5</v>
      </c>
    </row>
    <row r="13" spans="1:27" x14ac:dyDescent="0.2">
      <c r="N13">
        <v>776.5</v>
      </c>
      <c r="O13">
        <v>0.97099999999999997</v>
      </c>
      <c r="P13">
        <v>28.5</v>
      </c>
      <c r="R13">
        <v>137535</v>
      </c>
      <c r="T13">
        <v>28.5</v>
      </c>
    </row>
    <row r="14" spans="1:27" x14ac:dyDescent="0.2">
      <c r="N14">
        <v>786.5</v>
      </c>
      <c r="O14">
        <v>0.97299999999999998</v>
      </c>
      <c r="P14">
        <v>28.6</v>
      </c>
      <c r="R14">
        <v>139707</v>
      </c>
      <c r="T14">
        <v>28.6</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A11"/>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92</v>
      </c>
      <c r="B2">
        <v>46.03</v>
      </c>
      <c r="C2">
        <v>-0.02</v>
      </c>
      <c r="D2" t="s">
        <v>28</v>
      </c>
      <c r="P2">
        <v>27</v>
      </c>
      <c r="R2">
        <v>116700</v>
      </c>
      <c r="T2">
        <v>27</v>
      </c>
      <c r="V2" t="s">
        <v>94</v>
      </c>
      <c r="W2" t="s">
        <v>249</v>
      </c>
      <c r="Y2" t="s">
        <v>250</v>
      </c>
      <c r="Z2">
        <v>-4020</v>
      </c>
    </row>
    <row r="3" spans="1:27" x14ac:dyDescent="0.2">
      <c r="P3">
        <v>27.6</v>
      </c>
      <c r="R3">
        <v>120900</v>
      </c>
      <c r="T3">
        <v>27.6</v>
      </c>
    </row>
    <row r="4" spans="1:27" x14ac:dyDescent="0.2">
      <c r="P4">
        <v>27.7</v>
      </c>
      <c r="R4">
        <v>124200</v>
      </c>
      <c r="T4">
        <v>27.7</v>
      </c>
    </row>
    <row r="5" spans="1:27" x14ac:dyDescent="0.2">
      <c r="P5">
        <v>28.1</v>
      </c>
      <c r="R5">
        <v>126300</v>
      </c>
      <c r="T5">
        <v>28.1</v>
      </c>
    </row>
    <row r="6" spans="1:27" x14ac:dyDescent="0.2">
      <c r="P6">
        <v>27.8</v>
      </c>
      <c r="R6">
        <v>128300</v>
      </c>
      <c r="T6">
        <v>27.8</v>
      </c>
    </row>
    <row r="7" spans="1:27" x14ac:dyDescent="0.2">
      <c r="P7">
        <v>27.2</v>
      </c>
      <c r="R7">
        <v>130400</v>
      </c>
      <c r="T7">
        <v>27.2</v>
      </c>
    </row>
    <row r="8" spans="1:27" x14ac:dyDescent="0.2">
      <c r="P8">
        <v>27</v>
      </c>
      <c r="R8">
        <v>132500</v>
      </c>
      <c r="T8">
        <v>27</v>
      </c>
    </row>
    <row r="9" spans="1:27" x14ac:dyDescent="0.2">
      <c r="P9">
        <v>26.3</v>
      </c>
      <c r="R9">
        <v>134700</v>
      </c>
      <c r="T9">
        <v>26.3</v>
      </c>
    </row>
    <row r="10" spans="1:27" x14ac:dyDescent="0.2">
      <c r="P10">
        <v>26.3</v>
      </c>
      <c r="R10">
        <v>136900</v>
      </c>
      <c r="T10">
        <v>26.3</v>
      </c>
    </row>
    <row r="11" spans="1:27" x14ac:dyDescent="0.2">
      <c r="P11">
        <v>26.2</v>
      </c>
      <c r="R11">
        <v>139100</v>
      </c>
      <c r="T11">
        <v>26.2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A1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95</v>
      </c>
      <c r="B2">
        <v>73.88</v>
      </c>
      <c r="C2">
        <v>5.07</v>
      </c>
      <c r="D2" t="s">
        <v>28</v>
      </c>
      <c r="P2">
        <v>27.6</v>
      </c>
      <c r="R2">
        <v>115300</v>
      </c>
      <c r="T2">
        <v>27.6</v>
      </c>
      <c r="V2" t="s">
        <v>94</v>
      </c>
      <c r="W2" t="s">
        <v>251</v>
      </c>
      <c r="X2" t="s">
        <v>252</v>
      </c>
      <c r="Y2" t="s">
        <v>250</v>
      </c>
      <c r="Z2">
        <v>-2446</v>
      </c>
    </row>
    <row r="3" spans="1:27" x14ac:dyDescent="0.2">
      <c r="P3">
        <v>27</v>
      </c>
      <c r="R3">
        <v>117700</v>
      </c>
      <c r="T3">
        <v>27</v>
      </c>
    </row>
    <row r="4" spans="1:27" x14ac:dyDescent="0.2">
      <c r="P4">
        <v>27.4</v>
      </c>
      <c r="R4">
        <v>118900</v>
      </c>
      <c r="T4">
        <v>27.4</v>
      </c>
    </row>
    <row r="5" spans="1:27" x14ac:dyDescent="0.2">
      <c r="P5">
        <v>28</v>
      </c>
      <c r="R5">
        <v>121200</v>
      </c>
      <c r="T5">
        <v>28</v>
      </c>
    </row>
    <row r="6" spans="1:27" x14ac:dyDescent="0.2">
      <c r="P6">
        <v>27.5</v>
      </c>
      <c r="R6">
        <v>122200</v>
      </c>
      <c r="T6">
        <v>27.5</v>
      </c>
    </row>
    <row r="7" spans="1:27" x14ac:dyDescent="0.2">
      <c r="P7">
        <v>27.5</v>
      </c>
      <c r="R7">
        <v>125700</v>
      </c>
      <c r="T7">
        <v>27.5</v>
      </c>
    </row>
    <row r="8" spans="1:27" x14ac:dyDescent="0.2">
      <c r="P8">
        <v>27</v>
      </c>
      <c r="R8">
        <v>128100</v>
      </c>
      <c r="T8">
        <v>27</v>
      </c>
    </row>
    <row r="9" spans="1:27" x14ac:dyDescent="0.2">
      <c r="P9">
        <v>27.4</v>
      </c>
      <c r="R9">
        <v>130400</v>
      </c>
      <c r="T9">
        <v>27.4</v>
      </c>
    </row>
    <row r="10" spans="1:27" x14ac:dyDescent="0.2">
      <c r="P10">
        <v>27.4</v>
      </c>
      <c r="R10">
        <v>131500</v>
      </c>
      <c r="T10">
        <v>27.4</v>
      </c>
    </row>
    <row r="11" spans="1:27" x14ac:dyDescent="0.2">
      <c r="P11">
        <v>27.4</v>
      </c>
      <c r="R11">
        <v>132900</v>
      </c>
      <c r="T11">
        <v>27.4</v>
      </c>
    </row>
    <row r="12" spans="1:27" x14ac:dyDescent="0.2">
      <c r="P12">
        <v>27.5</v>
      </c>
      <c r="R12">
        <v>134700</v>
      </c>
      <c r="T12">
        <v>27.5</v>
      </c>
    </row>
    <row r="13" spans="1:27" x14ac:dyDescent="0.2">
      <c r="P13">
        <v>27.3</v>
      </c>
      <c r="R13">
        <v>136700</v>
      </c>
      <c r="T13">
        <v>27.3</v>
      </c>
    </row>
    <row r="14" spans="1:27" x14ac:dyDescent="0.2">
      <c r="P14">
        <v>27</v>
      </c>
      <c r="R14">
        <v>138800</v>
      </c>
      <c r="T14">
        <v>27</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A21"/>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96</v>
      </c>
      <c r="B2">
        <v>50.43</v>
      </c>
      <c r="C2">
        <v>3.18</v>
      </c>
      <c r="D2" t="s">
        <v>28</v>
      </c>
      <c r="P2">
        <v>26.7</v>
      </c>
      <c r="R2">
        <v>116200</v>
      </c>
      <c r="T2">
        <v>26.7</v>
      </c>
      <c r="V2" t="s">
        <v>94</v>
      </c>
      <c r="W2" t="s">
        <v>253</v>
      </c>
      <c r="Y2" t="s">
        <v>250</v>
      </c>
      <c r="Z2">
        <v>-4875</v>
      </c>
    </row>
    <row r="3" spans="1:27" x14ac:dyDescent="0.2">
      <c r="P3">
        <v>26.7</v>
      </c>
      <c r="R3">
        <v>116700</v>
      </c>
      <c r="T3">
        <v>26.7</v>
      </c>
    </row>
    <row r="4" spans="1:27" x14ac:dyDescent="0.2">
      <c r="P4">
        <v>26.8</v>
      </c>
      <c r="R4">
        <v>117500</v>
      </c>
      <c r="T4">
        <v>26.8</v>
      </c>
    </row>
    <row r="5" spans="1:27" x14ac:dyDescent="0.2">
      <c r="P5">
        <v>27</v>
      </c>
      <c r="R5">
        <v>118700</v>
      </c>
      <c r="T5">
        <v>27</v>
      </c>
    </row>
    <row r="6" spans="1:27" x14ac:dyDescent="0.2">
      <c r="P6">
        <v>27.2</v>
      </c>
      <c r="R6">
        <v>119800</v>
      </c>
      <c r="T6">
        <v>27.2</v>
      </c>
    </row>
    <row r="7" spans="1:27" x14ac:dyDescent="0.2">
      <c r="P7">
        <v>27.6</v>
      </c>
      <c r="R7">
        <v>120900</v>
      </c>
      <c r="T7">
        <v>27.6</v>
      </c>
    </row>
    <row r="8" spans="1:27" x14ac:dyDescent="0.2">
      <c r="P8">
        <v>27.7</v>
      </c>
      <c r="R8">
        <v>121900</v>
      </c>
      <c r="T8">
        <v>27.7</v>
      </c>
    </row>
    <row r="9" spans="1:27" x14ac:dyDescent="0.2">
      <c r="P9">
        <v>27.7</v>
      </c>
      <c r="R9">
        <v>123000</v>
      </c>
      <c r="T9">
        <v>27.7</v>
      </c>
    </row>
    <row r="10" spans="1:27" x14ac:dyDescent="0.2">
      <c r="P10">
        <v>27.8</v>
      </c>
      <c r="R10">
        <v>124000</v>
      </c>
      <c r="T10">
        <v>27.8</v>
      </c>
    </row>
    <row r="11" spans="1:27" x14ac:dyDescent="0.2">
      <c r="P11">
        <v>27.9</v>
      </c>
      <c r="R11">
        <v>126100</v>
      </c>
      <c r="T11">
        <v>27.9</v>
      </c>
    </row>
    <row r="12" spans="1:27" x14ac:dyDescent="0.2">
      <c r="P12">
        <v>27.8</v>
      </c>
      <c r="R12">
        <v>127600</v>
      </c>
      <c r="T12">
        <v>27.8</v>
      </c>
    </row>
    <row r="13" spans="1:27" x14ac:dyDescent="0.2">
      <c r="P13">
        <v>27.8</v>
      </c>
      <c r="R13">
        <v>129200</v>
      </c>
      <c r="T13">
        <v>27.8</v>
      </c>
    </row>
    <row r="14" spans="1:27" x14ac:dyDescent="0.2">
      <c r="P14">
        <v>27.5</v>
      </c>
      <c r="R14">
        <v>130700</v>
      </c>
      <c r="T14">
        <v>27.5</v>
      </c>
    </row>
    <row r="15" spans="1:27" x14ac:dyDescent="0.2">
      <c r="P15">
        <v>27.3</v>
      </c>
      <c r="R15">
        <v>132400</v>
      </c>
      <c r="T15">
        <v>27.3</v>
      </c>
    </row>
    <row r="16" spans="1:27" x14ac:dyDescent="0.2">
      <c r="P16">
        <v>26.9</v>
      </c>
      <c r="R16">
        <v>133400</v>
      </c>
      <c r="T16">
        <v>26.9</v>
      </c>
    </row>
    <row r="17" spans="16:20" x14ac:dyDescent="0.2">
      <c r="P17">
        <v>26.3</v>
      </c>
      <c r="R17">
        <v>134600</v>
      </c>
      <c r="T17">
        <v>26.3</v>
      </c>
    </row>
    <row r="18" spans="16:20" x14ac:dyDescent="0.2">
      <c r="P18">
        <v>26</v>
      </c>
      <c r="R18">
        <v>135600</v>
      </c>
      <c r="T18">
        <v>26</v>
      </c>
    </row>
    <row r="19" spans="16:20" x14ac:dyDescent="0.2">
      <c r="P19">
        <v>26.1</v>
      </c>
      <c r="R19">
        <v>136900</v>
      </c>
      <c r="T19">
        <v>26.1</v>
      </c>
    </row>
    <row r="20" spans="16:20" x14ac:dyDescent="0.2">
      <c r="P20">
        <v>26</v>
      </c>
      <c r="R20">
        <v>138200</v>
      </c>
      <c r="T20">
        <v>26</v>
      </c>
    </row>
    <row r="21" spans="16:20" x14ac:dyDescent="0.2">
      <c r="P21">
        <v>26.1</v>
      </c>
      <c r="R21">
        <v>139200</v>
      </c>
      <c r="T21">
        <v>26.1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A1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254</v>
      </c>
      <c r="B2">
        <v>53.25</v>
      </c>
      <c r="C2">
        <v>13.7</v>
      </c>
      <c r="D2" t="s">
        <v>28</v>
      </c>
      <c r="P2">
        <v>27.2</v>
      </c>
      <c r="R2">
        <v>117300</v>
      </c>
      <c r="T2">
        <v>27.2</v>
      </c>
      <c r="V2" t="s">
        <v>94</v>
      </c>
      <c r="W2" t="s">
        <v>255</v>
      </c>
      <c r="X2" t="s">
        <v>256</v>
      </c>
      <c r="Y2" t="s">
        <v>250</v>
      </c>
      <c r="Z2">
        <v>-2490</v>
      </c>
    </row>
    <row r="3" spans="1:27" x14ac:dyDescent="0.2">
      <c r="P3">
        <v>27.5</v>
      </c>
      <c r="R3">
        <v>120600</v>
      </c>
      <c r="T3">
        <v>27.5</v>
      </c>
    </row>
    <row r="4" spans="1:27" x14ac:dyDescent="0.2">
      <c r="P4">
        <v>27.6</v>
      </c>
      <c r="R4">
        <v>123800</v>
      </c>
      <c r="T4">
        <v>27.6</v>
      </c>
    </row>
    <row r="5" spans="1:27" x14ac:dyDescent="0.2">
      <c r="P5">
        <v>27.5</v>
      </c>
      <c r="R5">
        <v>125300</v>
      </c>
      <c r="T5">
        <v>27.5</v>
      </c>
    </row>
    <row r="6" spans="1:27" x14ac:dyDescent="0.2">
      <c r="P6">
        <v>27.4</v>
      </c>
      <c r="R6">
        <v>126800</v>
      </c>
      <c r="T6">
        <v>27.4</v>
      </c>
    </row>
    <row r="7" spans="1:27" x14ac:dyDescent="0.2">
      <c r="P7">
        <v>27.3</v>
      </c>
      <c r="R7">
        <v>128300</v>
      </c>
      <c r="T7">
        <v>27.3</v>
      </c>
    </row>
    <row r="8" spans="1:27" x14ac:dyDescent="0.2">
      <c r="P8">
        <v>27</v>
      </c>
      <c r="R8">
        <v>129800</v>
      </c>
      <c r="T8">
        <v>27</v>
      </c>
    </row>
    <row r="9" spans="1:27" x14ac:dyDescent="0.2">
      <c r="P9">
        <v>27.3</v>
      </c>
      <c r="R9">
        <v>130700</v>
      </c>
      <c r="T9">
        <v>27.3</v>
      </c>
    </row>
    <row r="10" spans="1:27" x14ac:dyDescent="0.2">
      <c r="P10">
        <v>26.4</v>
      </c>
      <c r="R10">
        <v>131600</v>
      </c>
      <c r="T10">
        <v>26.4</v>
      </c>
    </row>
    <row r="11" spans="1:27" x14ac:dyDescent="0.2">
      <c r="P11">
        <v>26.9</v>
      </c>
      <c r="R11">
        <v>132500</v>
      </c>
      <c r="T11">
        <v>26.9</v>
      </c>
    </row>
    <row r="12" spans="1:27" x14ac:dyDescent="0.2">
      <c r="P12">
        <v>26.8</v>
      </c>
      <c r="R12">
        <v>133400</v>
      </c>
      <c r="T12">
        <v>26.8</v>
      </c>
    </row>
    <row r="13" spans="1:27" x14ac:dyDescent="0.2">
      <c r="P13">
        <v>27</v>
      </c>
      <c r="R13">
        <v>134200</v>
      </c>
      <c r="T13">
        <v>27</v>
      </c>
    </row>
    <row r="14" spans="1:27" x14ac:dyDescent="0.2">
      <c r="P14">
        <v>25.8</v>
      </c>
      <c r="R14">
        <v>135100</v>
      </c>
      <c r="T14">
        <v>25.8</v>
      </c>
    </row>
    <row r="15" spans="1:27" x14ac:dyDescent="0.2">
      <c r="P15">
        <v>27</v>
      </c>
      <c r="R15">
        <v>137300</v>
      </c>
      <c r="T15">
        <v>27</v>
      </c>
    </row>
    <row r="16" spans="1:27" x14ac:dyDescent="0.2">
      <c r="P16">
        <v>26.7</v>
      </c>
      <c r="R16">
        <v>139500</v>
      </c>
      <c r="T16">
        <v>26.7</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A10"/>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98</v>
      </c>
      <c r="B2">
        <v>103.879</v>
      </c>
      <c r="C2">
        <v>-6.3280000000000003</v>
      </c>
      <c r="D2" t="s">
        <v>28</v>
      </c>
      <c r="N2">
        <v>871</v>
      </c>
      <c r="O2">
        <v>0.98899999999999999</v>
      </c>
      <c r="P2">
        <v>29.6</v>
      </c>
      <c r="R2">
        <v>116150</v>
      </c>
      <c r="S2">
        <v>25.10124627636938</v>
      </c>
      <c r="T2">
        <v>29.6</v>
      </c>
      <c r="U2">
        <v>35.922572800778163</v>
      </c>
      <c r="V2" t="s">
        <v>100</v>
      </c>
      <c r="W2" t="s">
        <v>257</v>
      </c>
      <c r="X2" t="s">
        <v>258</v>
      </c>
      <c r="Y2" t="s">
        <v>259</v>
      </c>
      <c r="Z2">
        <v>-1796</v>
      </c>
    </row>
    <row r="3" spans="1:27" x14ac:dyDescent="0.2">
      <c r="N3">
        <v>891</v>
      </c>
      <c r="O3">
        <v>0.98399999999999999</v>
      </c>
      <c r="P3">
        <v>29.4</v>
      </c>
      <c r="R3">
        <v>120190</v>
      </c>
      <c r="S3">
        <v>25.02283421484589</v>
      </c>
      <c r="T3">
        <v>29.4</v>
      </c>
      <c r="U3">
        <v>35.600984862301658</v>
      </c>
    </row>
    <row r="4" spans="1:27" x14ac:dyDescent="0.2">
      <c r="N4">
        <v>911</v>
      </c>
      <c r="O4">
        <v>0.98399999999999999</v>
      </c>
      <c r="P4">
        <v>29.4</v>
      </c>
      <c r="R4">
        <v>123940</v>
      </c>
      <c r="S4">
        <v>25.02283421484589</v>
      </c>
      <c r="T4">
        <v>29.4</v>
      </c>
      <c r="U4">
        <v>35.600984862301658</v>
      </c>
    </row>
    <row r="5" spans="1:27" x14ac:dyDescent="0.2">
      <c r="N5">
        <v>951</v>
      </c>
      <c r="O5">
        <v>0.97199999999999998</v>
      </c>
      <c r="P5">
        <v>29</v>
      </c>
      <c r="R5">
        <v>130840</v>
      </c>
      <c r="S5">
        <v>24.622834214845881</v>
      </c>
      <c r="T5">
        <v>29</v>
      </c>
      <c r="U5">
        <v>35.079396923825158</v>
      </c>
    </row>
    <row r="6" spans="1:27" x14ac:dyDescent="0.2">
      <c r="N6">
        <v>961</v>
      </c>
      <c r="O6">
        <v>0.95699999999999996</v>
      </c>
      <c r="P6">
        <v>28.4</v>
      </c>
      <c r="R6">
        <v>132560</v>
      </c>
      <c r="S6">
        <v>24.26601009179889</v>
      </c>
      <c r="T6">
        <v>28.4</v>
      </c>
      <c r="U6">
        <v>34.357808985348647</v>
      </c>
    </row>
    <row r="7" spans="1:27" x14ac:dyDescent="0.2">
      <c r="N7">
        <v>971</v>
      </c>
      <c r="O7">
        <v>0.94099999999999995</v>
      </c>
      <c r="P7">
        <v>27.7</v>
      </c>
      <c r="R7">
        <v>134280</v>
      </c>
      <c r="S7">
        <v>23.809185968751901</v>
      </c>
      <c r="T7">
        <v>27.7</v>
      </c>
      <c r="U7">
        <v>33.53622104687215</v>
      </c>
    </row>
    <row r="8" spans="1:27" x14ac:dyDescent="0.2">
      <c r="N8">
        <v>981</v>
      </c>
      <c r="O8">
        <v>0.94899999999999995</v>
      </c>
      <c r="P8">
        <v>28</v>
      </c>
      <c r="R8">
        <v>136010</v>
      </c>
      <c r="S8">
        <v>23.9875980302754</v>
      </c>
      <c r="T8">
        <v>28</v>
      </c>
      <c r="U8">
        <v>34.079396923825158</v>
      </c>
    </row>
    <row r="9" spans="1:27" x14ac:dyDescent="0.2">
      <c r="N9">
        <v>991</v>
      </c>
      <c r="O9">
        <v>0.96299999999999997</v>
      </c>
      <c r="P9">
        <v>28.6</v>
      </c>
      <c r="R9">
        <v>137730</v>
      </c>
      <c r="S9">
        <v>24.466010091798889</v>
      </c>
      <c r="T9">
        <v>28.6</v>
      </c>
      <c r="U9">
        <v>34.679396923825159</v>
      </c>
    </row>
    <row r="10" spans="1:27" x14ac:dyDescent="0.2">
      <c r="N10">
        <v>1001</v>
      </c>
      <c r="O10">
        <v>0.96099999999999997</v>
      </c>
      <c r="P10">
        <v>28.5</v>
      </c>
      <c r="R10">
        <v>139460</v>
      </c>
      <c r="S10">
        <v>24.366010091798891</v>
      </c>
      <c r="T10">
        <v>28.5</v>
      </c>
      <c r="U10">
        <v>34.700984862301659</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A8"/>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101</v>
      </c>
      <c r="B2">
        <v>-15.8665</v>
      </c>
      <c r="C2">
        <v>57.517000000000003</v>
      </c>
      <c r="D2" t="s">
        <v>28</v>
      </c>
      <c r="N2">
        <v>60</v>
      </c>
      <c r="O2">
        <v>0.61899999999999999</v>
      </c>
      <c r="P2">
        <v>17.059999999999999</v>
      </c>
      <c r="R2">
        <v>119090</v>
      </c>
      <c r="T2">
        <v>17.059999999999999</v>
      </c>
      <c r="V2" t="s">
        <v>103</v>
      </c>
      <c r="W2" t="s">
        <v>260</v>
      </c>
      <c r="X2" t="s">
        <v>261</v>
      </c>
      <c r="Y2" t="s">
        <v>262</v>
      </c>
      <c r="Z2">
        <v>-1145</v>
      </c>
    </row>
    <row r="3" spans="1:27" x14ac:dyDescent="0.2">
      <c r="N3">
        <v>110</v>
      </c>
      <c r="O3">
        <v>0.629</v>
      </c>
      <c r="P3">
        <v>17.350000000000001</v>
      </c>
      <c r="R3">
        <v>125640</v>
      </c>
      <c r="T3">
        <v>17.350000000000001</v>
      </c>
    </row>
    <row r="4" spans="1:27" x14ac:dyDescent="0.2">
      <c r="N4">
        <v>10</v>
      </c>
      <c r="O4">
        <v>0.71299999999999997</v>
      </c>
      <c r="P4">
        <v>19.84</v>
      </c>
      <c r="R4">
        <v>132105</v>
      </c>
      <c r="T4">
        <v>19.84</v>
      </c>
    </row>
    <row r="5" spans="1:27" x14ac:dyDescent="0.2">
      <c r="N5">
        <v>110</v>
      </c>
      <c r="O5">
        <v>0.69099999999999995</v>
      </c>
      <c r="P5">
        <v>19.18</v>
      </c>
      <c r="R5">
        <v>133130</v>
      </c>
      <c r="T5">
        <v>19.18</v>
      </c>
    </row>
    <row r="6" spans="1:27" x14ac:dyDescent="0.2">
      <c r="N6">
        <v>10</v>
      </c>
      <c r="O6">
        <v>0.73699999999999999</v>
      </c>
      <c r="P6">
        <v>20.54</v>
      </c>
      <c r="R6">
        <v>135105</v>
      </c>
      <c r="T6">
        <v>20.54</v>
      </c>
    </row>
    <row r="7" spans="1:27" x14ac:dyDescent="0.2">
      <c r="N7">
        <v>110</v>
      </c>
      <c r="O7">
        <v>0.65</v>
      </c>
      <c r="P7">
        <v>17.96</v>
      </c>
      <c r="R7">
        <v>137605</v>
      </c>
      <c r="T7">
        <v>17.96</v>
      </c>
    </row>
    <row r="8" spans="1:27" x14ac:dyDescent="0.2">
      <c r="N8">
        <v>10</v>
      </c>
      <c r="O8">
        <v>0.70399999999999996</v>
      </c>
      <c r="P8">
        <v>19.57</v>
      </c>
      <c r="R8">
        <v>138105</v>
      </c>
      <c r="T8">
        <v>19.57</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A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104</v>
      </c>
      <c r="B2">
        <v>172.03</v>
      </c>
      <c r="C2">
        <v>-46</v>
      </c>
      <c r="D2" t="s">
        <v>263</v>
      </c>
      <c r="N2">
        <v>288</v>
      </c>
      <c r="O2">
        <v>333</v>
      </c>
      <c r="P2">
        <v>6.0350000000000001</v>
      </c>
      <c r="R2">
        <v>116705</v>
      </c>
      <c r="T2">
        <v>6.0350000000000001</v>
      </c>
      <c r="V2" t="s">
        <v>106</v>
      </c>
      <c r="W2" t="s">
        <v>264</v>
      </c>
      <c r="Y2" t="s">
        <v>265</v>
      </c>
      <c r="Z2">
        <v>-1370</v>
      </c>
      <c r="AA2" t="s">
        <v>266</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107</v>
      </c>
      <c r="B2">
        <v>-178.5</v>
      </c>
      <c r="C2">
        <v>-42.53</v>
      </c>
      <c r="D2" t="s">
        <v>263</v>
      </c>
      <c r="N2">
        <v>230</v>
      </c>
      <c r="O2">
        <v>423</v>
      </c>
      <c r="P2">
        <v>15.439</v>
      </c>
      <c r="R2">
        <v>121200</v>
      </c>
      <c r="T2">
        <v>15.439</v>
      </c>
      <c r="V2" t="s">
        <v>106</v>
      </c>
      <c r="W2" t="s">
        <v>267</v>
      </c>
      <c r="Y2" t="s">
        <v>268</v>
      </c>
      <c r="Z2">
        <v>-1408</v>
      </c>
      <c r="AA2" t="s">
        <v>266</v>
      </c>
    </row>
    <row r="3" spans="1:27" x14ac:dyDescent="0.2">
      <c r="N3">
        <v>250</v>
      </c>
      <c r="O3">
        <v>336</v>
      </c>
      <c r="P3">
        <v>11.0025</v>
      </c>
      <c r="R3">
        <v>132400</v>
      </c>
      <c r="T3">
        <v>11.0025</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108</v>
      </c>
      <c r="B2">
        <v>179.5</v>
      </c>
      <c r="C2">
        <v>-45.08</v>
      </c>
      <c r="D2" t="s">
        <v>263</v>
      </c>
      <c r="N2">
        <v>390</v>
      </c>
      <c r="O2">
        <v>521</v>
      </c>
      <c r="P2">
        <v>7.375</v>
      </c>
      <c r="R2">
        <v>117520</v>
      </c>
      <c r="T2">
        <v>7.375</v>
      </c>
      <c r="V2" t="s">
        <v>106</v>
      </c>
      <c r="W2" t="s">
        <v>269</v>
      </c>
      <c r="Y2" t="s">
        <v>270</v>
      </c>
      <c r="Z2">
        <v>-2700</v>
      </c>
      <c r="AA2" t="s">
        <v>266</v>
      </c>
    </row>
    <row r="3" spans="1:27" x14ac:dyDescent="0.2">
      <c r="N3">
        <v>400</v>
      </c>
      <c r="O3">
        <v>409</v>
      </c>
      <c r="P3">
        <v>8.3115000000000006</v>
      </c>
      <c r="R3">
        <v>120880</v>
      </c>
      <c r="T3">
        <v>8.3115000000000006</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A2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271</v>
      </c>
      <c r="B2">
        <v>-9.68</v>
      </c>
      <c r="C2">
        <v>42.15</v>
      </c>
      <c r="D2" t="s">
        <v>28</v>
      </c>
      <c r="N2">
        <v>1800</v>
      </c>
      <c r="P2">
        <v>20.823</v>
      </c>
      <c r="R2">
        <v>115956</v>
      </c>
      <c r="T2">
        <v>20.823</v>
      </c>
      <c r="V2" t="s">
        <v>111</v>
      </c>
      <c r="W2" t="s">
        <v>272</v>
      </c>
      <c r="X2" t="s">
        <v>273</v>
      </c>
      <c r="Y2" t="s">
        <v>274</v>
      </c>
      <c r="Z2">
        <v>-2110</v>
      </c>
      <c r="AA2" t="s">
        <v>209</v>
      </c>
    </row>
    <row r="3" spans="1:27" x14ac:dyDescent="0.2">
      <c r="N3">
        <v>1810</v>
      </c>
      <c r="P3">
        <v>18.471</v>
      </c>
      <c r="R3">
        <v>117676</v>
      </c>
      <c r="T3">
        <v>18.471</v>
      </c>
    </row>
    <row r="4" spans="1:27" x14ac:dyDescent="0.2">
      <c r="N4">
        <v>1820</v>
      </c>
      <c r="P4">
        <v>19.239000000000001</v>
      </c>
      <c r="R4">
        <v>119396</v>
      </c>
      <c r="T4">
        <v>19.239000000000001</v>
      </c>
    </row>
    <row r="5" spans="1:27" x14ac:dyDescent="0.2">
      <c r="N5">
        <v>1830</v>
      </c>
      <c r="P5">
        <v>21.411000000000001</v>
      </c>
      <c r="R5">
        <v>121116</v>
      </c>
      <c r="T5">
        <v>21.411000000000001</v>
      </c>
    </row>
    <row r="6" spans="1:27" x14ac:dyDescent="0.2">
      <c r="N6">
        <v>1840</v>
      </c>
      <c r="P6">
        <v>22.443000000000001</v>
      </c>
      <c r="R6">
        <v>122836</v>
      </c>
      <c r="T6">
        <v>22.443000000000001</v>
      </c>
    </row>
    <row r="7" spans="1:27" x14ac:dyDescent="0.2">
      <c r="N7">
        <v>1850</v>
      </c>
      <c r="P7">
        <v>22.103999999999999</v>
      </c>
      <c r="R7">
        <v>124556</v>
      </c>
      <c r="T7">
        <v>22.103999999999999</v>
      </c>
    </row>
    <row r="8" spans="1:27" x14ac:dyDescent="0.2">
      <c r="N8">
        <v>1860</v>
      </c>
      <c r="P8">
        <v>22.218</v>
      </c>
      <c r="R8">
        <v>126276</v>
      </c>
      <c r="T8">
        <v>22.218</v>
      </c>
    </row>
    <row r="9" spans="1:27" x14ac:dyDescent="0.2">
      <c r="N9">
        <v>1870</v>
      </c>
      <c r="P9">
        <v>19.47</v>
      </c>
      <c r="R9">
        <v>127996</v>
      </c>
      <c r="T9">
        <v>19.47</v>
      </c>
    </row>
    <row r="10" spans="1:27" x14ac:dyDescent="0.2">
      <c r="N10">
        <v>1880</v>
      </c>
      <c r="P10">
        <v>15.053000000000001</v>
      </c>
      <c r="R10">
        <v>129657.8947</v>
      </c>
      <c r="T10">
        <v>15.053000000000001</v>
      </c>
    </row>
    <row r="11" spans="1:27" x14ac:dyDescent="0.2">
      <c r="N11">
        <v>1890</v>
      </c>
      <c r="P11">
        <v>17.408999999999999</v>
      </c>
      <c r="R11">
        <v>131184.21049999999</v>
      </c>
      <c r="T11">
        <v>17.408999999999999</v>
      </c>
    </row>
    <row r="12" spans="1:27" x14ac:dyDescent="0.2">
      <c r="N12">
        <v>1900</v>
      </c>
      <c r="P12">
        <v>20.405000000000001</v>
      </c>
      <c r="R12">
        <v>132710.5263</v>
      </c>
      <c r="T12">
        <v>20.405000000000001</v>
      </c>
    </row>
    <row r="13" spans="1:27" x14ac:dyDescent="0.2">
      <c r="N13">
        <v>1910</v>
      </c>
      <c r="P13">
        <v>12.173</v>
      </c>
      <c r="R13">
        <v>134236.84210000001</v>
      </c>
      <c r="T13">
        <v>12.173</v>
      </c>
    </row>
    <row r="14" spans="1:27" x14ac:dyDescent="0.2">
      <c r="N14">
        <v>1920</v>
      </c>
      <c r="P14">
        <v>11.906000000000001</v>
      </c>
      <c r="R14">
        <v>135193.5484</v>
      </c>
      <c r="T14">
        <v>11.906000000000001</v>
      </c>
    </row>
    <row r="15" spans="1:27" x14ac:dyDescent="0.2">
      <c r="N15">
        <v>1930</v>
      </c>
      <c r="P15">
        <v>11.996</v>
      </c>
      <c r="R15">
        <v>135580.6452</v>
      </c>
      <c r="T15">
        <v>11.996</v>
      </c>
    </row>
    <row r="16" spans="1:27" x14ac:dyDescent="0.2">
      <c r="N16">
        <v>1940</v>
      </c>
      <c r="P16">
        <v>11.236000000000001</v>
      </c>
      <c r="R16">
        <v>135967.74189999999</v>
      </c>
      <c r="T16">
        <v>11.236000000000001</v>
      </c>
    </row>
    <row r="17" spans="14:20" x14ac:dyDescent="0.2">
      <c r="N17">
        <v>1950</v>
      </c>
      <c r="P17">
        <v>10.962</v>
      </c>
      <c r="R17">
        <v>136354.83869999999</v>
      </c>
      <c r="T17">
        <v>10.962</v>
      </c>
    </row>
    <row r="18" spans="14:20" x14ac:dyDescent="0.2">
      <c r="N18">
        <v>1960</v>
      </c>
      <c r="P18">
        <v>13.721</v>
      </c>
      <c r="R18">
        <v>136741.93549999999</v>
      </c>
      <c r="T18">
        <v>13.721</v>
      </c>
    </row>
    <row r="19" spans="14:20" x14ac:dyDescent="0.2">
      <c r="N19">
        <v>1970</v>
      </c>
      <c r="P19">
        <v>13.654</v>
      </c>
      <c r="R19">
        <v>137129.03229999999</v>
      </c>
      <c r="T19">
        <v>13.654</v>
      </c>
    </row>
    <row r="20" spans="14:20" x14ac:dyDescent="0.2">
      <c r="N20">
        <v>1980</v>
      </c>
      <c r="P20">
        <v>13.048999999999999</v>
      </c>
      <c r="R20">
        <v>137516.12899999999</v>
      </c>
      <c r="T20">
        <v>13.048999999999999</v>
      </c>
    </row>
    <row r="21" spans="14:20" x14ac:dyDescent="0.2">
      <c r="N21">
        <v>1990</v>
      </c>
      <c r="P21">
        <v>12.409000000000001</v>
      </c>
      <c r="R21">
        <v>137903.22579999999</v>
      </c>
      <c r="T21">
        <v>12.409000000000001</v>
      </c>
    </row>
    <row r="22" spans="14:20" x14ac:dyDescent="0.2">
      <c r="N22">
        <v>2000</v>
      </c>
      <c r="P22">
        <v>12.888</v>
      </c>
      <c r="R22">
        <v>138290.32260000001</v>
      </c>
      <c r="T22">
        <v>12.888</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A59"/>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271</v>
      </c>
      <c r="B2">
        <v>-9.68</v>
      </c>
      <c r="C2">
        <v>42.15</v>
      </c>
      <c r="D2" t="s">
        <v>263</v>
      </c>
      <c r="N2">
        <v>1795</v>
      </c>
      <c r="P2">
        <v>15.54612234</v>
      </c>
      <c r="R2">
        <v>115096</v>
      </c>
      <c r="T2">
        <v>15.54612234</v>
      </c>
      <c r="V2" t="s">
        <v>111</v>
      </c>
      <c r="W2" t="s">
        <v>275</v>
      </c>
      <c r="X2" t="s">
        <v>273</v>
      </c>
      <c r="Y2" t="s">
        <v>276</v>
      </c>
      <c r="Z2">
        <v>-2110</v>
      </c>
      <c r="AA2" t="s">
        <v>209</v>
      </c>
    </row>
    <row r="3" spans="1:27" x14ac:dyDescent="0.2">
      <c r="N3">
        <v>1800</v>
      </c>
      <c r="P3">
        <v>17.50593203</v>
      </c>
      <c r="R3">
        <v>115956</v>
      </c>
      <c r="T3">
        <v>17.50593203</v>
      </c>
    </row>
    <row r="4" spans="1:27" x14ac:dyDescent="0.2">
      <c r="N4">
        <v>1805</v>
      </c>
      <c r="P4">
        <v>17.431874959999998</v>
      </c>
      <c r="R4">
        <v>116816</v>
      </c>
      <c r="T4">
        <v>17.431874959999998</v>
      </c>
    </row>
    <row r="5" spans="1:27" x14ac:dyDescent="0.2">
      <c r="N5">
        <v>1810</v>
      </c>
      <c r="P5">
        <v>18.806481139999999</v>
      </c>
      <c r="R5">
        <v>117676</v>
      </c>
      <c r="T5">
        <v>18.806481139999999</v>
      </c>
    </row>
    <row r="6" spans="1:27" x14ac:dyDescent="0.2">
      <c r="N6">
        <v>1815</v>
      </c>
      <c r="P6">
        <v>17.784121689999999</v>
      </c>
      <c r="R6">
        <v>118536</v>
      </c>
      <c r="T6">
        <v>17.784121689999999</v>
      </c>
    </row>
    <row r="7" spans="1:27" x14ac:dyDescent="0.2">
      <c r="N7">
        <v>1820</v>
      </c>
      <c r="P7">
        <v>17.901602029999999</v>
      </c>
      <c r="R7">
        <v>119396</v>
      </c>
      <c r="T7">
        <v>17.901602029999999</v>
      </c>
    </row>
    <row r="8" spans="1:27" x14ac:dyDescent="0.2">
      <c r="N8">
        <v>1825</v>
      </c>
      <c r="P8">
        <v>18.704530699999999</v>
      </c>
      <c r="R8">
        <v>120256</v>
      </c>
      <c r="T8">
        <v>18.704530699999999</v>
      </c>
    </row>
    <row r="9" spans="1:27" x14ac:dyDescent="0.2">
      <c r="N9">
        <v>1830</v>
      </c>
      <c r="P9">
        <v>18.34791358</v>
      </c>
      <c r="R9">
        <v>121116</v>
      </c>
      <c r="T9">
        <v>18.34791358</v>
      </c>
    </row>
    <row r="10" spans="1:27" x14ac:dyDescent="0.2">
      <c r="N10">
        <v>1835</v>
      </c>
      <c r="P10">
        <v>17.427110410000001</v>
      </c>
      <c r="R10">
        <v>121976</v>
      </c>
      <c r="T10">
        <v>17.427110410000001</v>
      </c>
    </row>
    <row r="11" spans="1:27" x14ac:dyDescent="0.2">
      <c r="N11">
        <v>1840</v>
      </c>
      <c r="P11">
        <v>18.28794813</v>
      </c>
      <c r="R11">
        <v>122836</v>
      </c>
      <c r="T11">
        <v>18.28794813</v>
      </c>
    </row>
    <row r="12" spans="1:27" x14ac:dyDescent="0.2">
      <c r="N12">
        <v>1845</v>
      </c>
      <c r="P12">
        <v>17.738333300000001</v>
      </c>
      <c r="R12">
        <v>123696</v>
      </c>
      <c r="T12">
        <v>17.738333300000001</v>
      </c>
    </row>
    <row r="13" spans="1:27" x14ac:dyDescent="0.2">
      <c r="N13">
        <v>1850</v>
      </c>
      <c r="P13">
        <v>19.749098910000001</v>
      </c>
      <c r="R13">
        <v>124556</v>
      </c>
      <c r="T13">
        <v>19.749098910000001</v>
      </c>
    </row>
    <row r="14" spans="1:27" x14ac:dyDescent="0.2">
      <c r="N14">
        <v>1852</v>
      </c>
      <c r="P14">
        <v>19.06358913</v>
      </c>
      <c r="R14">
        <v>124900</v>
      </c>
      <c r="T14">
        <v>19.06358913</v>
      </c>
    </row>
    <row r="15" spans="1:27" x14ac:dyDescent="0.2">
      <c r="N15">
        <v>1855</v>
      </c>
      <c r="P15">
        <v>19.88181719</v>
      </c>
      <c r="R15">
        <v>125416</v>
      </c>
      <c r="T15">
        <v>19.88181719</v>
      </c>
    </row>
    <row r="16" spans="1:27" x14ac:dyDescent="0.2">
      <c r="N16">
        <v>1857</v>
      </c>
      <c r="P16">
        <v>17.617596639999999</v>
      </c>
      <c r="R16">
        <v>125760</v>
      </c>
      <c r="T16">
        <v>17.617596639999999</v>
      </c>
    </row>
    <row r="17" spans="14:20" x14ac:dyDescent="0.2">
      <c r="N17">
        <v>1860</v>
      </c>
      <c r="P17">
        <v>19.362232370000001</v>
      </c>
      <c r="R17">
        <v>126276</v>
      </c>
      <c r="T17">
        <v>19.362232370000001</v>
      </c>
    </row>
    <row r="18" spans="14:20" x14ac:dyDescent="0.2">
      <c r="N18">
        <v>1862</v>
      </c>
      <c r="P18">
        <v>18.53015487</v>
      </c>
      <c r="R18">
        <v>126620</v>
      </c>
      <c r="T18">
        <v>18.53015487</v>
      </c>
    </row>
    <row r="19" spans="14:20" x14ac:dyDescent="0.2">
      <c r="N19">
        <v>1864</v>
      </c>
      <c r="P19">
        <v>18.41425181</v>
      </c>
      <c r="R19">
        <v>126964</v>
      </c>
      <c r="T19">
        <v>18.41425181</v>
      </c>
    </row>
    <row r="20" spans="14:20" x14ac:dyDescent="0.2">
      <c r="N20">
        <v>1865</v>
      </c>
      <c r="P20">
        <v>16.048110950000002</v>
      </c>
      <c r="R20">
        <v>127136</v>
      </c>
      <c r="T20">
        <v>16.048110950000002</v>
      </c>
    </row>
    <row r="21" spans="14:20" x14ac:dyDescent="0.2">
      <c r="N21">
        <v>1867</v>
      </c>
      <c r="P21">
        <v>16.624334780000002</v>
      </c>
      <c r="R21">
        <v>127480</v>
      </c>
      <c r="T21">
        <v>16.624334780000002</v>
      </c>
    </row>
    <row r="22" spans="14:20" x14ac:dyDescent="0.2">
      <c r="N22">
        <v>1870</v>
      </c>
      <c r="P22">
        <v>18.138813389999999</v>
      </c>
      <c r="R22">
        <v>127996</v>
      </c>
      <c r="T22">
        <v>18.138813389999999</v>
      </c>
    </row>
    <row r="23" spans="14:20" x14ac:dyDescent="0.2">
      <c r="N23">
        <v>1875</v>
      </c>
      <c r="P23">
        <v>17.650574150000001</v>
      </c>
      <c r="R23">
        <v>128856</v>
      </c>
      <c r="T23">
        <v>17.650574150000001</v>
      </c>
    </row>
    <row r="24" spans="14:20" x14ac:dyDescent="0.2">
      <c r="N24">
        <v>1880</v>
      </c>
      <c r="P24">
        <v>19.337910260000001</v>
      </c>
      <c r="R24">
        <v>129657.8947</v>
      </c>
      <c r="T24">
        <v>19.337910260000001</v>
      </c>
    </row>
    <row r="25" spans="14:20" x14ac:dyDescent="0.2">
      <c r="N25">
        <v>1882</v>
      </c>
      <c r="P25">
        <v>17.407856890000001</v>
      </c>
      <c r="R25">
        <v>129963.15790000001</v>
      </c>
      <c r="T25">
        <v>17.407856890000001</v>
      </c>
    </row>
    <row r="26" spans="14:20" x14ac:dyDescent="0.2">
      <c r="N26">
        <v>1885</v>
      </c>
      <c r="P26">
        <v>18.533183050000002</v>
      </c>
      <c r="R26">
        <v>130421.0526</v>
      </c>
      <c r="T26">
        <v>18.533183050000002</v>
      </c>
    </row>
    <row r="27" spans="14:20" x14ac:dyDescent="0.2">
      <c r="N27">
        <v>1887</v>
      </c>
      <c r="P27">
        <v>17.858562200000001</v>
      </c>
      <c r="R27">
        <v>130726.3158</v>
      </c>
      <c r="T27">
        <v>17.858562200000001</v>
      </c>
    </row>
    <row r="28" spans="14:20" x14ac:dyDescent="0.2">
      <c r="N28">
        <v>1890</v>
      </c>
      <c r="P28">
        <v>14.97317159</v>
      </c>
      <c r="R28">
        <v>131184.21049999999</v>
      </c>
      <c r="T28">
        <v>14.97317159</v>
      </c>
    </row>
    <row r="29" spans="14:20" x14ac:dyDescent="0.2">
      <c r="N29">
        <v>1892</v>
      </c>
      <c r="P29">
        <v>18.731024439999999</v>
      </c>
      <c r="R29">
        <v>131489.4737</v>
      </c>
      <c r="T29">
        <v>18.731024439999999</v>
      </c>
    </row>
    <row r="30" spans="14:20" x14ac:dyDescent="0.2">
      <c r="N30">
        <v>1895</v>
      </c>
      <c r="P30">
        <v>19.682353249999998</v>
      </c>
      <c r="R30">
        <v>131947.36840000001</v>
      </c>
      <c r="T30">
        <v>19.682353249999998</v>
      </c>
    </row>
    <row r="31" spans="14:20" x14ac:dyDescent="0.2">
      <c r="N31">
        <v>1900</v>
      </c>
      <c r="P31">
        <v>19.335216970000001</v>
      </c>
      <c r="R31">
        <v>132710.5263</v>
      </c>
      <c r="T31">
        <v>19.335216970000001</v>
      </c>
    </row>
    <row r="32" spans="14:20" x14ac:dyDescent="0.2">
      <c r="N32">
        <v>1905</v>
      </c>
      <c r="P32">
        <v>19.176749709999999</v>
      </c>
      <c r="R32">
        <v>133473.68419999999</v>
      </c>
      <c r="T32">
        <v>19.176749709999999</v>
      </c>
    </row>
    <row r="33" spans="14:20" x14ac:dyDescent="0.2">
      <c r="N33">
        <v>1910</v>
      </c>
      <c r="P33">
        <v>11.19995385</v>
      </c>
      <c r="R33">
        <v>134236.84210000001</v>
      </c>
      <c r="T33">
        <v>11.19995385</v>
      </c>
    </row>
    <row r="34" spans="14:20" x14ac:dyDescent="0.2">
      <c r="N34">
        <v>1915</v>
      </c>
      <c r="P34">
        <v>7.9617312780000002</v>
      </c>
      <c r="R34">
        <v>135000</v>
      </c>
      <c r="T34">
        <v>7.9617312780000002</v>
      </c>
    </row>
    <row r="35" spans="14:20" x14ac:dyDescent="0.2">
      <c r="N35">
        <v>1916</v>
      </c>
      <c r="P35">
        <v>7.512400188</v>
      </c>
      <c r="R35">
        <v>135038.70970000001</v>
      </c>
      <c r="T35">
        <v>7.512400188</v>
      </c>
    </row>
    <row r="36" spans="14:20" x14ac:dyDescent="0.2">
      <c r="N36">
        <v>1920</v>
      </c>
      <c r="P36">
        <v>7.3822317460000004</v>
      </c>
      <c r="R36">
        <v>135193.5484</v>
      </c>
      <c r="T36">
        <v>7.3822317460000004</v>
      </c>
    </row>
    <row r="37" spans="14:20" x14ac:dyDescent="0.2">
      <c r="N37">
        <v>1922</v>
      </c>
      <c r="P37">
        <v>7.5050225279999996</v>
      </c>
      <c r="R37">
        <v>135270.96770000001</v>
      </c>
      <c r="T37">
        <v>7.5050225279999996</v>
      </c>
    </row>
    <row r="38" spans="14:20" x14ac:dyDescent="0.2">
      <c r="N38">
        <v>1925</v>
      </c>
      <c r="P38">
        <v>7.4171336449999998</v>
      </c>
      <c r="R38">
        <v>135387.0968</v>
      </c>
      <c r="T38">
        <v>7.4171336449999998</v>
      </c>
    </row>
    <row r="39" spans="14:20" x14ac:dyDescent="0.2">
      <c r="N39">
        <v>1927</v>
      </c>
      <c r="P39">
        <v>7.1916001759999997</v>
      </c>
      <c r="R39">
        <v>135464.51610000001</v>
      </c>
      <c r="T39">
        <v>7.1916001759999997</v>
      </c>
    </row>
    <row r="40" spans="14:20" x14ac:dyDescent="0.2">
      <c r="N40">
        <v>1930</v>
      </c>
      <c r="P40">
        <v>7.4023545540000004</v>
      </c>
      <c r="R40">
        <v>135580.6452</v>
      </c>
      <c r="T40">
        <v>7.4023545540000004</v>
      </c>
    </row>
    <row r="41" spans="14:20" x14ac:dyDescent="0.2">
      <c r="N41">
        <v>1932</v>
      </c>
      <c r="P41">
        <v>7.5556209709999997</v>
      </c>
      <c r="R41">
        <v>135658.06450000001</v>
      </c>
      <c r="T41">
        <v>7.5556209709999997</v>
      </c>
    </row>
    <row r="42" spans="14:20" x14ac:dyDescent="0.2">
      <c r="N42">
        <v>1935</v>
      </c>
      <c r="P42">
        <v>4.8437619810000001</v>
      </c>
      <c r="R42">
        <v>135774.19349999999</v>
      </c>
      <c r="T42">
        <v>4.8437619810000001</v>
      </c>
    </row>
    <row r="43" spans="14:20" x14ac:dyDescent="0.2">
      <c r="N43">
        <v>1940</v>
      </c>
      <c r="P43">
        <v>4.0443453079999996</v>
      </c>
      <c r="R43">
        <v>135967.74189999999</v>
      </c>
      <c r="T43">
        <v>4.0443453079999996</v>
      </c>
    </row>
    <row r="44" spans="14:20" x14ac:dyDescent="0.2">
      <c r="N44">
        <v>1945</v>
      </c>
      <c r="P44">
        <v>4.2904214920000001</v>
      </c>
      <c r="R44">
        <v>136161.29029999999</v>
      </c>
      <c r="T44">
        <v>4.2904214920000001</v>
      </c>
    </row>
    <row r="45" spans="14:20" x14ac:dyDescent="0.2">
      <c r="N45">
        <v>1950</v>
      </c>
      <c r="P45">
        <v>4.3406563079999998</v>
      </c>
      <c r="R45">
        <v>136354.83869999999</v>
      </c>
      <c r="T45">
        <v>4.3406563079999998</v>
      </c>
    </row>
    <row r="46" spans="14:20" x14ac:dyDescent="0.2">
      <c r="N46">
        <v>1955</v>
      </c>
      <c r="P46">
        <v>5.0610282199999999</v>
      </c>
      <c r="R46">
        <v>136548.38709999999</v>
      </c>
      <c r="T46">
        <v>5.0610282199999999</v>
      </c>
    </row>
    <row r="47" spans="14:20" x14ac:dyDescent="0.2">
      <c r="N47">
        <v>1960</v>
      </c>
      <c r="P47">
        <v>7.67713935</v>
      </c>
      <c r="R47">
        <v>136741.93549999999</v>
      </c>
      <c r="T47">
        <v>7.67713935</v>
      </c>
    </row>
    <row r="48" spans="14:20" x14ac:dyDescent="0.2">
      <c r="N48">
        <v>1962</v>
      </c>
      <c r="P48">
        <v>7.4565984219999999</v>
      </c>
      <c r="R48">
        <v>136819.3548</v>
      </c>
      <c r="T48">
        <v>7.4565984219999999</v>
      </c>
    </row>
    <row r="49" spans="14:20" x14ac:dyDescent="0.2">
      <c r="N49">
        <v>1965</v>
      </c>
      <c r="P49">
        <v>7.5909285740000003</v>
      </c>
      <c r="R49">
        <v>136935.48389999999</v>
      </c>
      <c r="T49">
        <v>7.5909285740000003</v>
      </c>
    </row>
    <row r="50" spans="14:20" x14ac:dyDescent="0.2">
      <c r="N50">
        <v>1970</v>
      </c>
      <c r="P50">
        <v>6.0189853470000001</v>
      </c>
      <c r="R50">
        <v>137129.03229999999</v>
      </c>
      <c r="T50">
        <v>6.0189853470000001</v>
      </c>
    </row>
    <row r="51" spans="14:20" x14ac:dyDescent="0.2">
      <c r="N51">
        <v>1975</v>
      </c>
      <c r="P51">
        <v>3.95322525</v>
      </c>
      <c r="R51">
        <v>137322.58059999999</v>
      </c>
      <c r="T51">
        <v>3.95322525</v>
      </c>
    </row>
    <row r="52" spans="14:20" x14ac:dyDescent="0.2">
      <c r="N52">
        <v>1980</v>
      </c>
      <c r="P52">
        <v>6.6250287840000004</v>
      </c>
      <c r="R52">
        <v>137516.12899999999</v>
      </c>
      <c r="T52">
        <v>6.6250287840000004</v>
      </c>
    </row>
    <row r="53" spans="14:20" x14ac:dyDescent="0.2">
      <c r="N53">
        <v>1985</v>
      </c>
      <c r="P53">
        <v>7.394880616</v>
      </c>
      <c r="R53">
        <v>137709.67739999999</v>
      </c>
      <c r="T53">
        <v>7.394880616</v>
      </c>
    </row>
    <row r="54" spans="14:20" x14ac:dyDescent="0.2">
      <c r="N54">
        <v>1990</v>
      </c>
      <c r="P54">
        <v>6.0482078369999996</v>
      </c>
      <c r="R54">
        <v>137903.22579999999</v>
      </c>
      <c r="T54">
        <v>6.0482078369999996</v>
      </c>
    </row>
    <row r="55" spans="14:20" x14ac:dyDescent="0.2">
      <c r="N55">
        <v>1995</v>
      </c>
      <c r="P55">
        <v>6.5595134899999996</v>
      </c>
      <c r="R55">
        <v>138096.77420000001</v>
      </c>
      <c r="T55">
        <v>6.5595134899999996</v>
      </c>
    </row>
    <row r="56" spans="14:20" x14ac:dyDescent="0.2">
      <c r="N56">
        <v>2000</v>
      </c>
      <c r="P56">
        <v>7.437545064</v>
      </c>
      <c r="R56">
        <v>138290.32260000001</v>
      </c>
      <c r="T56">
        <v>7.437545064</v>
      </c>
    </row>
    <row r="57" spans="14:20" x14ac:dyDescent="0.2">
      <c r="N57">
        <v>2005</v>
      </c>
      <c r="P57">
        <v>7.463627614</v>
      </c>
      <c r="R57">
        <v>138483.87100000001</v>
      </c>
      <c r="T57">
        <v>7.463627614</v>
      </c>
    </row>
    <row r="58" spans="14:20" x14ac:dyDescent="0.2">
      <c r="N58">
        <v>2030</v>
      </c>
      <c r="P58">
        <v>9.7155468060000008</v>
      </c>
      <c r="R58">
        <v>139451.61290000001</v>
      </c>
      <c r="T58">
        <v>9.7155468060000008</v>
      </c>
    </row>
    <row r="59" spans="14:20" x14ac:dyDescent="0.2">
      <c r="N59">
        <v>2040</v>
      </c>
      <c r="P59">
        <v>7.380344343</v>
      </c>
      <c r="R59">
        <v>139838.70970000001</v>
      </c>
      <c r="T59">
        <v>7.380344343</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A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113</v>
      </c>
      <c r="B2">
        <v>49.93</v>
      </c>
      <c r="C2">
        <v>-43.97</v>
      </c>
      <c r="D2" t="s">
        <v>199</v>
      </c>
      <c r="N2">
        <v>138</v>
      </c>
      <c r="O2">
        <v>1.75</v>
      </c>
      <c r="P2">
        <v>12.2</v>
      </c>
      <c r="R2">
        <v>117410</v>
      </c>
      <c r="T2">
        <v>12.2</v>
      </c>
      <c r="V2" t="s">
        <v>115</v>
      </c>
      <c r="W2" t="s">
        <v>277</v>
      </c>
      <c r="Y2" t="s">
        <v>278</v>
      </c>
      <c r="Z2">
        <v>-2622</v>
      </c>
    </row>
    <row r="3" spans="1:27" x14ac:dyDescent="0.2">
      <c r="N3">
        <v>143</v>
      </c>
      <c r="O3">
        <v>1.74</v>
      </c>
      <c r="P3">
        <v>12.2</v>
      </c>
      <c r="R3">
        <v>121810</v>
      </c>
      <c r="T3">
        <v>12.2</v>
      </c>
    </row>
    <row r="4" spans="1:27" x14ac:dyDescent="0.2">
      <c r="N4">
        <v>153</v>
      </c>
      <c r="O4">
        <v>1.49</v>
      </c>
      <c r="P4">
        <v>10.7</v>
      </c>
      <c r="R4">
        <v>130590</v>
      </c>
      <c r="T4">
        <v>10.7</v>
      </c>
    </row>
    <row r="5" spans="1:27" x14ac:dyDescent="0.2">
      <c r="N5">
        <v>158</v>
      </c>
      <c r="O5">
        <v>1.59</v>
      </c>
      <c r="P5">
        <v>11.3</v>
      </c>
      <c r="R5">
        <v>134540</v>
      </c>
      <c r="T5">
        <v>11.3</v>
      </c>
    </row>
    <row r="6" spans="1:27" x14ac:dyDescent="0.2">
      <c r="N6">
        <v>163</v>
      </c>
      <c r="O6">
        <v>1.49</v>
      </c>
      <c r="P6">
        <v>10.7</v>
      </c>
      <c r="R6">
        <v>137840</v>
      </c>
      <c r="T6">
        <v>10.7</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A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116</v>
      </c>
      <c r="B2">
        <v>146.03</v>
      </c>
      <c r="C2">
        <v>-47.15</v>
      </c>
      <c r="D2" t="s">
        <v>199</v>
      </c>
      <c r="N2">
        <v>150</v>
      </c>
      <c r="O2">
        <v>1.86</v>
      </c>
      <c r="P2">
        <v>12.8</v>
      </c>
      <c r="R2">
        <v>117324</v>
      </c>
      <c r="T2">
        <v>12.8</v>
      </c>
      <c r="V2" t="s">
        <v>118</v>
      </c>
      <c r="W2" t="s">
        <v>279</v>
      </c>
      <c r="Y2" t="s">
        <v>280</v>
      </c>
      <c r="Z2">
        <v>-2705</v>
      </c>
    </row>
    <row r="3" spans="1:27" x14ac:dyDescent="0.2">
      <c r="N3">
        <v>155</v>
      </c>
      <c r="O3">
        <v>1.87</v>
      </c>
      <c r="P3">
        <v>12.8</v>
      </c>
      <c r="R3">
        <v>122560</v>
      </c>
      <c r="T3">
        <v>12.8</v>
      </c>
    </row>
    <row r="4" spans="1:27" x14ac:dyDescent="0.2">
      <c r="N4">
        <v>160</v>
      </c>
      <c r="O4">
        <v>2.0099999999999998</v>
      </c>
      <c r="P4">
        <v>13.5</v>
      </c>
      <c r="R4">
        <v>126740</v>
      </c>
      <c r="T4">
        <v>13.5</v>
      </c>
    </row>
    <row r="5" spans="1:27" x14ac:dyDescent="0.2">
      <c r="N5">
        <v>165</v>
      </c>
      <c r="O5">
        <v>2.1800000000000002</v>
      </c>
      <c r="P5">
        <v>14.3</v>
      </c>
      <c r="R5">
        <v>130920</v>
      </c>
      <c r="T5">
        <v>14.3</v>
      </c>
    </row>
    <row r="6" spans="1:27" x14ac:dyDescent="0.2">
      <c r="N6">
        <v>170</v>
      </c>
      <c r="O6">
        <v>1.78</v>
      </c>
      <c r="P6">
        <v>12.4</v>
      </c>
      <c r="R6">
        <v>135100</v>
      </c>
      <c r="T6">
        <v>12.4</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A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119</v>
      </c>
      <c r="B2">
        <v>144.4</v>
      </c>
      <c r="C2">
        <v>-42.6</v>
      </c>
      <c r="D2" t="s">
        <v>199</v>
      </c>
      <c r="N2">
        <v>150</v>
      </c>
      <c r="O2">
        <v>1.86</v>
      </c>
      <c r="P2">
        <v>12.8</v>
      </c>
      <c r="R2">
        <v>117324</v>
      </c>
      <c r="T2">
        <v>12.8</v>
      </c>
      <c r="V2" t="s">
        <v>118</v>
      </c>
      <c r="W2" t="s">
        <v>279</v>
      </c>
      <c r="Y2" t="s">
        <v>280</v>
      </c>
      <c r="Z2">
        <v>-2463</v>
      </c>
    </row>
    <row r="3" spans="1:27" x14ac:dyDescent="0.2">
      <c r="N3">
        <v>155</v>
      </c>
      <c r="O3">
        <v>1.87</v>
      </c>
      <c r="P3">
        <v>12.8</v>
      </c>
      <c r="R3">
        <v>122560</v>
      </c>
      <c r="T3">
        <v>12.8</v>
      </c>
    </row>
    <row r="4" spans="1:27" x14ac:dyDescent="0.2">
      <c r="N4">
        <v>160</v>
      </c>
      <c r="O4">
        <v>2.0099999999999998</v>
      </c>
      <c r="P4">
        <v>13.5</v>
      </c>
      <c r="R4">
        <v>126740</v>
      </c>
      <c r="T4">
        <v>13.5</v>
      </c>
    </row>
    <row r="5" spans="1:27" x14ac:dyDescent="0.2">
      <c r="N5">
        <v>165</v>
      </c>
      <c r="O5">
        <v>2.1800000000000002</v>
      </c>
      <c r="P5">
        <v>14.3</v>
      </c>
      <c r="R5">
        <v>130920</v>
      </c>
      <c r="T5">
        <v>14.3</v>
      </c>
    </row>
    <row r="6" spans="1:27" x14ac:dyDescent="0.2">
      <c r="N6">
        <v>170</v>
      </c>
      <c r="O6">
        <v>1.78</v>
      </c>
      <c r="P6">
        <v>12.4</v>
      </c>
      <c r="R6">
        <v>135100</v>
      </c>
      <c r="T6">
        <v>12.4</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A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120</v>
      </c>
      <c r="B2">
        <v>145.0042</v>
      </c>
      <c r="C2">
        <v>44.527500000000003</v>
      </c>
      <c r="D2" t="s">
        <v>28</v>
      </c>
      <c r="N2">
        <v>5246.8</v>
      </c>
      <c r="O2">
        <v>0.34799999999999998</v>
      </c>
      <c r="P2">
        <v>9.1</v>
      </c>
      <c r="R2">
        <v>115150</v>
      </c>
      <c r="T2">
        <v>9.1</v>
      </c>
      <c r="V2" t="s">
        <v>122</v>
      </c>
      <c r="W2" t="s">
        <v>281</v>
      </c>
      <c r="X2" t="s">
        <v>282</v>
      </c>
      <c r="Y2" t="s">
        <v>283</v>
      </c>
      <c r="Z2">
        <v>-1225</v>
      </c>
    </row>
    <row r="3" spans="1:27" x14ac:dyDescent="0.2">
      <c r="N3">
        <v>5254.2</v>
      </c>
      <c r="O3">
        <v>0.34399999999999997</v>
      </c>
      <c r="P3">
        <v>9</v>
      </c>
      <c r="R3">
        <v>115310</v>
      </c>
      <c r="T3">
        <v>9</v>
      </c>
    </row>
    <row r="4" spans="1:27" x14ac:dyDescent="0.2">
      <c r="N4">
        <v>5261.7</v>
      </c>
      <c r="O4">
        <v>0.38</v>
      </c>
      <c r="P4">
        <v>10</v>
      </c>
      <c r="R4">
        <v>115970</v>
      </c>
      <c r="T4">
        <v>10</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A8"/>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123</v>
      </c>
      <c r="B2">
        <v>-178.16650000000001</v>
      </c>
      <c r="C2">
        <v>-42.549930000000003</v>
      </c>
      <c r="D2" t="s">
        <v>28</v>
      </c>
      <c r="N2">
        <v>7.0000000000000009</v>
      </c>
      <c r="O2">
        <v>0.624</v>
      </c>
      <c r="P2">
        <v>17.600000000000001</v>
      </c>
      <c r="R2">
        <v>125500</v>
      </c>
      <c r="T2">
        <v>17.600000000000001</v>
      </c>
      <c r="V2" t="s">
        <v>125</v>
      </c>
      <c r="W2" t="s">
        <v>284</v>
      </c>
      <c r="X2" t="s">
        <v>285</v>
      </c>
      <c r="Y2" t="s">
        <v>286</v>
      </c>
      <c r="Z2">
        <v>-1365</v>
      </c>
    </row>
    <row r="3" spans="1:27" x14ac:dyDescent="0.2">
      <c r="N3">
        <v>13</v>
      </c>
      <c r="O3">
        <v>0.56799999999999995</v>
      </c>
      <c r="P3">
        <v>15.9</v>
      </c>
      <c r="R3">
        <v>127900</v>
      </c>
      <c r="T3">
        <v>15.9</v>
      </c>
    </row>
    <row r="4" spans="1:27" x14ac:dyDescent="0.2">
      <c r="N4">
        <v>19</v>
      </c>
      <c r="O4">
        <v>0.53600000000000003</v>
      </c>
      <c r="P4">
        <v>14.9</v>
      </c>
      <c r="R4">
        <v>130200</v>
      </c>
      <c r="T4">
        <v>14.9</v>
      </c>
    </row>
    <row r="5" spans="1:27" x14ac:dyDescent="0.2">
      <c r="N5">
        <v>25</v>
      </c>
      <c r="O5">
        <v>0.48099999999999998</v>
      </c>
      <c r="P5">
        <v>13.3</v>
      </c>
      <c r="R5">
        <v>132500</v>
      </c>
      <c r="T5">
        <v>13.3</v>
      </c>
    </row>
    <row r="6" spans="1:27" x14ac:dyDescent="0.2">
      <c r="N6">
        <v>33</v>
      </c>
      <c r="O6">
        <v>0.44400000000000001</v>
      </c>
      <c r="P6">
        <v>12.1</v>
      </c>
      <c r="R6">
        <v>135600</v>
      </c>
      <c r="T6">
        <v>12.1</v>
      </c>
    </row>
    <row r="7" spans="1:27" x14ac:dyDescent="0.2">
      <c r="N7">
        <v>37</v>
      </c>
      <c r="O7">
        <v>0.42799999999999999</v>
      </c>
      <c r="P7">
        <v>11.6</v>
      </c>
      <c r="R7">
        <v>137200</v>
      </c>
      <c r="T7">
        <v>11.6</v>
      </c>
    </row>
    <row r="8" spans="1:27" x14ac:dyDescent="0.2">
      <c r="N8">
        <v>44</v>
      </c>
      <c r="O8">
        <v>0.43099999999999999</v>
      </c>
      <c r="P8">
        <v>11.7</v>
      </c>
      <c r="R8">
        <v>139900</v>
      </c>
      <c r="T8">
        <v>11.7</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126</v>
      </c>
      <c r="B2">
        <v>-95.32</v>
      </c>
      <c r="C2">
        <v>0.2</v>
      </c>
      <c r="D2" t="s">
        <v>199</v>
      </c>
      <c r="O2">
        <v>2.5409999999999999</v>
      </c>
      <c r="P2">
        <v>24.844999999999999</v>
      </c>
      <c r="R2">
        <v>120000</v>
      </c>
      <c r="T2">
        <v>24.844999999999999</v>
      </c>
      <c r="V2" t="s">
        <v>128</v>
      </c>
      <c r="W2" t="s">
        <v>287</v>
      </c>
      <c r="Y2" t="s">
        <v>288</v>
      </c>
      <c r="Z2">
        <v>-3373</v>
      </c>
    </row>
    <row r="3" spans="1:27" x14ac:dyDescent="0.2">
      <c r="O3">
        <v>2.4329999999999998</v>
      </c>
      <c r="P3">
        <v>24.385000000000002</v>
      </c>
      <c r="R3">
        <v>132000</v>
      </c>
      <c r="T3">
        <v>24.385000000000002</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A1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129</v>
      </c>
      <c r="B2">
        <v>10.32</v>
      </c>
      <c r="C2">
        <v>-6.58</v>
      </c>
      <c r="D2" t="s">
        <v>28</v>
      </c>
      <c r="N2">
        <v>788</v>
      </c>
      <c r="O2">
        <v>0.89300000000000002</v>
      </c>
      <c r="P2">
        <v>25.1</v>
      </c>
      <c r="R2">
        <v>116600</v>
      </c>
      <c r="S2">
        <v>24.5</v>
      </c>
      <c r="T2">
        <v>25.1</v>
      </c>
      <c r="U2">
        <v>25.7</v>
      </c>
      <c r="V2" t="s">
        <v>131</v>
      </c>
      <c r="W2" t="s">
        <v>289</v>
      </c>
      <c r="Y2" t="s">
        <v>290</v>
      </c>
      <c r="Z2">
        <v>-3124</v>
      </c>
    </row>
    <row r="3" spans="1:27" x14ac:dyDescent="0.2">
      <c r="N3">
        <v>798</v>
      </c>
      <c r="O3">
        <v>0.877</v>
      </c>
      <c r="P3">
        <v>24.6</v>
      </c>
      <c r="R3">
        <v>118800</v>
      </c>
      <c r="S3">
        <v>24</v>
      </c>
      <c r="T3">
        <v>24.6</v>
      </c>
      <c r="U3">
        <v>25.2</v>
      </c>
    </row>
    <row r="4" spans="1:27" x14ac:dyDescent="0.2">
      <c r="N4">
        <v>808</v>
      </c>
      <c r="O4">
        <v>0.92300000000000004</v>
      </c>
      <c r="P4">
        <v>26</v>
      </c>
      <c r="R4">
        <v>120900</v>
      </c>
      <c r="S4">
        <v>25.4</v>
      </c>
      <c r="T4">
        <v>26</v>
      </c>
      <c r="U4">
        <v>26.6</v>
      </c>
    </row>
    <row r="5" spans="1:27" x14ac:dyDescent="0.2">
      <c r="N5">
        <v>813</v>
      </c>
      <c r="O5">
        <v>0.92400000000000004</v>
      </c>
      <c r="P5">
        <v>26</v>
      </c>
      <c r="R5">
        <v>122000</v>
      </c>
      <c r="S5">
        <v>25.4</v>
      </c>
      <c r="T5">
        <v>26</v>
      </c>
      <c r="U5">
        <v>26.6</v>
      </c>
    </row>
    <row r="6" spans="1:27" x14ac:dyDescent="0.2">
      <c r="N6">
        <v>828</v>
      </c>
      <c r="O6">
        <v>0.94899999999999995</v>
      </c>
      <c r="P6">
        <v>26.8</v>
      </c>
      <c r="R6">
        <v>124900</v>
      </c>
      <c r="S6">
        <v>26.2</v>
      </c>
      <c r="T6">
        <v>26.8</v>
      </c>
      <c r="U6">
        <v>27.4</v>
      </c>
    </row>
    <row r="7" spans="1:27" x14ac:dyDescent="0.2">
      <c r="N7">
        <v>838</v>
      </c>
      <c r="O7">
        <v>0.95499999999999996</v>
      </c>
      <c r="P7">
        <v>26.9</v>
      </c>
      <c r="R7">
        <v>126900</v>
      </c>
      <c r="S7">
        <v>26.3</v>
      </c>
      <c r="T7">
        <v>26.9</v>
      </c>
      <c r="U7">
        <v>27.5</v>
      </c>
    </row>
    <row r="8" spans="1:27" x14ac:dyDescent="0.2">
      <c r="N8">
        <v>843</v>
      </c>
      <c r="O8">
        <v>0.94</v>
      </c>
      <c r="P8">
        <v>26.5</v>
      </c>
      <c r="R8">
        <v>127800</v>
      </c>
      <c r="S8">
        <v>25.9</v>
      </c>
      <c r="T8">
        <v>26.5</v>
      </c>
      <c r="U8">
        <v>27.1</v>
      </c>
    </row>
    <row r="9" spans="1:27" x14ac:dyDescent="0.2">
      <c r="N9">
        <v>858</v>
      </c>
      <c r="O9">
        <v>0.89100000000000001</v>
      </c>
      <c r="P9">
        <v>25.1</v>
      </c>
      <c r="R9">
        <v>130700</v>
      </c>
      <c r="S9">
        <v>24.5</v>
      </c>
      <c r="T9">
        <v>25.1</v>
      </c>
      <c r="U9">
        <v>25.7</v>
      </c>
    </row>
    <row r="10" spans="1:27" x14ac:dyDescent="0.2">
      <c r="N10">
        <v>868</v>
      </c>
      <c r="O10">
        <v>0.871</v>
      </c>
      <c r="P10">
        <v>24.5</v>
      </c>
      <c r="R10">
        <v>132700</v>
      </c>
      <c r="S10">
        <v>23.9</v>
      </c>
      <c r="T10">
        <v>24.5</v>
      </c>
      <c r="U10">
        <v>25.1</v>
      </c>
    </row>
    <row r="11" spans="1:27" x14ac:dyDescent="0.2">
      <c r="N11">
        <v>878</v>
      </c>
      <c r="O11">
        <v>0.87</v>
      </c>
      <c r="P11">
        <v>24.4</v>
      </c>
      <c r="R11">
        <v>134600</v>
      </c>
      <c r="S11">
        <v>23.8</v>
      </c>
      <c r="T11">
        <v>24.4</v>
      </c>
      <c r="U11">
        <v>25</v>
      </c>
    </row>
    <row r="12" spans="1:27" x14ac:dyDescent="0.2">
      <c r="N12">
        <v>883</v>
      </c>
      <c r="O12">
        <v>0.85499999999999998</v>
      </c>
      <c r="P12">
        <v>24</v>
      </c>
      <c r="R12">
        <v>135500</v>
      </c>
      <c r="S12">
        <v>23.4</v>
      </c>
      <c r="T12">
        <v>24</v>
      </c>
      <c r="U12">
        <v>24.6</v>
      </c>
    </row>
    <row r="13" spans="1:27" x14ac:dyDescent="0.2">
      <c r="N13">
        <v>898</v>
      </c>
      <c r="O13">
        <v>0.86199999999999999</v>
      </c>
      <c r="P13">
        <v>24.2</v>
      </c>
      <c r="R13">
        <v>138100</v>
      </c>
      <c r="S13">
        <v>23.6</v>
      </c>
      <c r="T13">
        <v>24.2</v>
      </c>
      <c r="U13">
        <v>24.8</v>
      </c>
    </row>
    <row r="14" spans="1:27" x14ac:dyDescent="0.2">
      <c r="N14">
        <v>908</v>
      </c>
      <c r="O14">
        <v>0.87</v>
      </c>
      <c r="P14">
        <v>24.4</v>
      </c>
      <c r="R14">
        <v>139800</v>
      </c>
      <c r="S14">
        <v>23.8</v>
      </c>
      <c r="T14">
        <v>24.4</v>
      </c>
      <c r="U14">
        <v>25</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A1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132</v>
      </c>
      <c r="B2">
        <v>11.68</v>
      </c>
      <c r="C2">
        <v>-11.77</v>
      </c>
      <c r="D2" t="s">
        <v>28</v>
      </c>
      <c r="N2">
        <v>588</v>
      </c>
      <c r="O2">
        <v>0.88400000000000001</v>
      </c>
      <c r="P2">
        <v>24.9</v>
      </c>
      <c r="R2">
        <v>116400</v>
      </c>
      <c r="S2">
        <v>24.3</v>
      </c>
      <c r="T2">
        <v>24.9</v>
      </c>
      <c r="U2">
        <v>25.5</v>
      </c>
      <c r="V2" t="s">
        <v>131</v>
      </c>
      <c r="W2" t="s">
        <v>291</v>
      </c>
      <c r="Y2" t="s">
        <v>292</v>
      </c>
      <c r="Z2">
        <v>-3411</v>
      </c>
    </row>
    <row r="3" spans="1:27" x14ac:dyDescent="0.2">
      <c r="N3">
        <v>593</v>
      </c>
      <c r="O3">
        <v>0.88900000000000001</v>
      </c>
      <c r="P3">
        <v>25</v>
      </c>
      <c r="R3">
        <v>118300</v>
      </c>
      <c r="S3">
        <v>24.4</v>
      </c>
      <c r="T3">
        <v>25</v>
      </c>
      <c r="U3">
        <v>25.6</v>
      </c>
    </row>
    <row r="4" spans="1:27" x14ac:dyDescent="0.2">
      <c r="N4">
        <v>598</v>
      </c>
      <c r="O4">
        <v>0.90400000000000003</v>
      </c>
      <c r="P4">
        <v>25.4</v>
      </c>
      <c r="R4">
        <v>120100</v>
      </c>
      <c r="S4">
        <v>24.8</v>
      </c>
      <c r="T4">
        <v>25.4</v>
      </c>
      <c r="U4">
        <v>26</v>
      </c>
    </row>
    <row r="5" spans="1:27" x14ac:dyDescent="0.2">
      <c r="N5">
        <v>603</v>
      </c>
      <c r="O5">
        <v>0.93300000000000005</v>
      </c>
      <c r="P5">
        <v>26.3</v>
      </c>
      <c r="R5">
        <v>122000</v>
      </c>
      <c r="S5">
        <v>25.7</v>
      </c>
      <c r="T5">
        <v>26.3</v>
      </c>
      <c r="U5">
        <v>26.9</v>
      </c>
    </row>
    <row r="6" spans="1:27" x14ac:dyDescent="0.2">
      <c r="N6">
        <v>608</v>
      </c>
      <c r="O6">
        <v>0.92300000000000004</v>
      </c>
      <c r="P6">
        <v>26</v>
      </c>
      <c r="R6">
        <v>123800</v>
      </c>
      <c r="S6">
        <v>25.4</v>
      </c>
      <c r="T6">
        <v>26</v>
      </c>
      <c r="U6">
        <v>26.6</v>
      </c>
    </row>
    <row r="7" spans="1:27" x14ac:dyDescent="0.2">
      <c r="N7">
        <v>613</v>
      </c>
      <c r="O7">
        <v>0.94</v>
      </c>
      <c r="P7">
        <v>26.5</v>
      </c>
      <c r="R7">
        <v>125500</v>
      </c>
      <c r="S7">
        <v>25.9</v>
      </c>
      <c r="T7">
        <v>26.5</v>
      </c>
      <c r="U7">
        <v>27.1</v>
      </c>
    </row>
    <row r="8" spans="1:27" x14ac:dyDescent="0.2">
      <c r="N8">
        <v>618</v>
      </c>
      <c r="O8">
        <v>0.93100000000000005</v>
      </c>
      <c r="P8">
        <v>26.2</v>
      </c>
      <c r="R8">
        <v>127300</v>
      </c>
      <c r="S8">
        <v>25.6</v>
      </c>
      <c r="T8">
        <v>26.2</v>
      </c>
      <c r="U8">
        <v>26.8</v>
      </c>
    </row>
    <row r="9" spans="1:27" x14ac:dyDescent="0.2">
      <c r="N9">
        <v>623</v>
      </c>
      <c r="O9">
        <v>0.90800000000000003</v>
      </c>
      <c r="P9">
        <v>25.6</v>
      </c>
      <c r="R9">
        <v>129000</v>
      </c>
      <c r="S9">
        <v>25</v>
      </c>
      <c r="T9">
        <v>25.6</v>
      </c>
      <c r="U9">
        <v>26.2</v>
      </c>
    </row>
    <row r="10" spans="1:27" x14ac:dyDescent="0.2">
      <c r="N10">
        <v>628</v>
      </c>
      <c r="O10">
        <v>0.88</v>
      </c>
      <c r="P10">
        <v>24.7</v>
      </c>
      <c r="R10">
        <v>130800</v>
      </c>
      <c r="S10">
        <v>24.1</v>
      </c>
      <c r="T10">
        <v>24.7</v>
      </c>
      <c r="U10">
        <v>25.3</v>
      </c>
    </row>
    <row r="11" spans="1:27" x14ac:dyDescent="0.2">
      <c r="N11">
        <v>633</v>
      </c>
      <c r="O11">
        <v>0.85699999999999998</v>
      </c>
      <c r="P11">
        <v>24.1</v>
      </c>
      <c r="R11">
        <v>132500</v>
      </c>
      <c r="S11">
        <v>23.5</v>
      </c>
      <c r="T11">
        <v>24.1</v>
      </c>
      <c r="U11">
        <v>24.7</v>
      </c>
    </row>
    <row r="12" spans="1:27" x14ac:dyDescent="0.2">
      <c r="N12">
        <v>638</v>
      </c>
      <c r="O12">
        <v>0.86099999999999999</v>
      </c>
      <c r="P12">
        <v>24.2</v>
      </c>
      <c r="R12">
        <v>134300</v>
      </c>
      <c r="S12">
        <v>23.6</v>
      </c>
      <c r="T12">
        <v>24.2</v>
      </c>
      <c r="U12">
        <v>24.8</v>
      </c>
    </row>
    <row r="13" spans="1:27" x14ac:dyDescent="0.2">
      <c r="N13">
        <v>643</v>
      </c>
      <c r="O13">
        <v>0.85199999999999998</v>
      </c>
      <c r="P13">
        <v>23.9</v>
      </c>
      <c r="R13">
        <v>135700</v>
      </c>
      <c r="S13">
        <v>23.3</v>
      </c>
      <c r="T13">
        <v>23.9</v>
      </c>
      <c r="U13">
        <v>24.5</v>
      </c>
    </row>
    <row r="14" spans="1:27" x14ac:dyDescent="0.2">
      <c r="N14">
        <v>653</v>
      </c>
      <c r="O14">
        <v>0.84599999999999997</v>
      </c>
      <c r="P14">
        <v>23.7</v>
      </c>
      <c r="R14">
        <v>138100</v>
      </c>
      <c r="S14">
        <v>23.1</v>
      </c>
      <c r="T14">
        <v>23.7</v>
      </c>
      <c r="U14">
        <v>24.3</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A20"/>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133</v>
      </c>
      <c r="B2">
        <v>9.18</v>
      </c>
      <c r="C2">
        <v>-20.100000000000001</v>
      </c>
      <c r="D2" t="s">
        <v>28</v>
      </c>
      <c r="N2">
        <v>368</v>
      </c>
      <c r="O2">
        <v>0.747</v>
      </c>
      <c r="P2">
        <v>20.8</v>
      </c>
      <c r="R2">
        <v>115100</v>
      </c>
      <c r="S2">
        <v>20.2</v>
      </c>
      <c r="T2">
        <v>20.8</v>
      </c>
      <c r="U2">
        <v>21.4</v>
      </c>
      <c r="V2" t="s">
        <v>131</v>
      </c>
      <c r="W2" t="s">
        <v>293</v>
      </c>
      <c r="Y2" t="s">
        <v>294</v>
      </c>
      <c r="Z2">
        <v>-2209</v>
      </c>
    </row>
    <row r="3" spans="1:27" x14ac:dyDescent="0.2">
      <c r="N3">
        <v>373</v>
      </c>
      <c r="O3">
        <v>0.755</v>
      </c>
      <c r="P3">
        <v>21.1</v>
      </c>
      <c r="R3">
        <v>116200</v>
      </c>
      <c r="S3">
        <v>20.5</v>
      </c>
      <c r="T3">
        <v>21.1</v>
      </c>
      <c r="U3">
        <v>21.7</v>
      </c>
    </row>
    <row r="4" spans="1:27" x14ac:dyDescent="0.2">
      <c r="N4">
        <v>378</v>
      </c>
      <c r="O4">
        <v>0.77200000000000002</v>
      </c>
      <c r="P4">
        <v>21.6</v>
      </c>
      <c r="R4">
        <v>117400</v>
      </c>
      <c r="S4">
        <v>21</v>
      </c>
      <c r="T4">
        <v>21.6</v>
      </c>
      <c r="U4">
        <v>22.2</v>
      </c>
    </row>
    <row r="5" spans="1:27" x14ac:dyDescent="0.2">
      <c r="N5">
        <v>383</v>
      </c>
      <c r="O5">
        <v>0.78700000000000003</v>
      </c>
      <c r="P5">
        <v>22</v>
      </c>
      <c r="R5">
        <v>118500</v>
      </c>
      <c r="S5">
        <v>21.4</v>
      </c>
      <c r="T5">
        <v>22</v>
      </c>
      <c r="U5">
        <v>22.6</v>
      </c>
    </row>
    <row r="6" spans="1:27" x14ac:dyDescent="0.2">
      <c r="N6">
        <v>388</v>
      </c>
      <c r="O6">
        <v>0.80800000000000005</v>
      </c>
      <c r="P6">
        <v>22.6</v>
      </c>
      <c r="R6">
        <v>119700</v>
      </c>
      <c r="S6">
        <v>22</v>
      </c>
      <c r="T6">
        <v>22.6</v>
      </c>
      <c r="U6">
        <v>23.2</v>
      </c>
    </row>
    <row r="7" spans="1:27" x14ac:dyDescent="0.2">
      <c r="N7">
        <v>393</v>
      </c>
      <c r="O7">
        <v>0.82</v>
      </c>
      <c r="P7">
        <v>23</v>
      </c>
      <c r="R7">
        <v>120900</v>
      </c>
      <c r="S7">
        <v>22.4</v>
      </c>
      <c r="T7">
        <v>23</v>
      </c>
      <c r="U7">
        <v>23.6</v>
      </c>
    </row>
    <row r="8" spans="1:27" x14ac:dyDescent="0.2">
      <c r="N8">
        <v>398</v>
      </c>
      <c r="O8">
        <v>0.80400000000000005</v>
      </c>
      <c r="P8">
        <v>22.5</v>
      </c>
      <c r="R8">
        <v>122000</v>
      </c>
      <c r="S8">
        <v>21.9</v>
      </c>
      <c r="T8">
        <v>22.5</v>
      </c>
      <c r="U8">
        <v>23.1</v>
      </c>
    </row>
    <row r="9" spans="1:27" x14ac:dyDescent="0.2">
      <c r="N9">
        <v>403</v>
      </c>
      <c r="O9">
        <v>0.83</v>
      </c>
      <c r="P9">
        <v>23.3</v>
      </c>
      <c r="R9">
        <v>123200</v>
      </c>
      <c r="S9">
        <v>22.7</v>
      </c>
      <c r="T9">
        <v>23.3</v>
      </c>
      <c r="U9">
        <v>23.9</v>
      </c>
    </row>
    <row r="10" spans="1:27" x14ac:dyDescent="0.2">
      <c r="N10">
        <v>408</v>
      </c>
      <c r="O10">
        <v>0.81</v>
      </c>
      <c r="P10">
        <v>22.7</v>
      </c>
      <c r="R10">
        <v>124400</v>
      </c>
      <c r="S10">
        <v>22.1</v>
      </c>
      <c r="T10">
        <v>22.7</v>
      </c>
      <c r="U10">
        <v>23.3</v>
      </c>
    </row>
    <row r="11" spans="1:27" x14ac:dyDescent="0.2">
      <c r="N11">
        <v>413</v>
      </c>
      <c r="O11">
        <v>0.82299999999999995</v>
      </c>
      <c r="P11">
        <v>23.1</v>
      </c>
      <c r="R11">
        <v>125600</v>
      </c>
      <c r="S11">
        <v>22.5</v>
      </c>
      <c r="T11">
        <v>23.1</v>
      </c>
      <c r="U11">
        <v>23.7</v>
      </c>
    </row>
    <row r="12" spans="1:27" x14ac:dyDescent="0.2">
      <c r="N12">
        <v>418</v>
      </c>
      <c r="O12">
        <v>0.83399999999999996</v>
      </c>
      <c r="P12">
        <v>23.4</v>
      </c>
      <c r="R12">
        <v>126700</v>
      </c>
      <c r="S12">
        <v>22.8</v>
      </c>
      <c r="T12">
        <v>23.4</v>
      </c>
      <c r="U12">
        <v>24</v>
      </c>
    </row>
    <row r="13" spans="1:27" x14ac:dyDescent="0.2">
      <c r="N13">
        <v>423</v>
      </c>
      <c r="O13">
        <v>0.81799999999999995</v>
      </c>
      <c r="P13">
        <v>22.9</v>
      </c>
      <c r="R13">
        <v>127900</v>
      </c>
      <c r="S13">
        <v>22.3</v>
      </c>
      <c r="T13">
        <v>22.9</v>
      </c>
      <c r="U13">
        <v>23.5</v>
      </c>
    </row>
    <row r="14" spans="1:27" x14ac:dyDescent="0.2">
      <c r="N14">
        <v>428</v>
      </c>
      <c r="O14">
        <v>0.82399999999999995</v>
      </c>
      <c r="P14">
        <v>23.1</v>
      </c>
      <c r="R14">
        <v>129100</v>
      </c>
      <c r="S14">
        <v>22.5</v>
      </c>
      <c r="T14">
        <v>23.1</v>
      </c>
      <c r="U14">
        <v>23.7</v>
      </c>
    </row>
    <row r="15" spans="1:27" x14ac:dyDescent="0.2">
      <c r="N15">
        <v>433</v>
      </c>
      <c r="O15">
        <v>0.77500000000000002</v>
      </c>
      <c r="P15">
        <v>21.6</v>
      </c>
      <c r="R15">
        <v>130300</v>
      </c>
      <c r="S15">
        <v>21</v>
      </c>
      <c r="T15">
        <v>21.6</v>
      </c>
      <c r="U15">
        <v>22.2</v>
      </c>
    </row>
    <row r="16" spans="1:27" x14ac:dyDescent="0.2">
      <c r="N16">
        <v>438</v>
      </c>
      <c r="O16">
        <v>0.76800000000000002</v>
      </c>
      <c r="P16">
        <v>21.4</v>
      </c>
      <c r="R16">
        <v>131500</v>
      </c>
      <c r="S16">
        <v>20.8</v>
      </c>
      <c r="T16">
        <v>21.4</v>
      </c>
      <c r="U16">
        <v>22</v>
      </c>
    </row>
    <row r="17" spans="14:21" x14ac:dyDescent="0.2">
      <c r="N17">
        <v>443</v>
      </c>
      <c r="O17">
        <v>0.71099999999999997</v>
      </c>
      <c r="P17">
        <v>19.8</v>
      </c>
      <c r="R17">
        <v>132600</v>
      </c>
      <c r="S17">
        <v>19.2</v>
      </c>
      <c r="T17">
        <v>19.8</v>
      </c>
      <c r="U17">
        <v>20.399999999999999</v>
      </c>
    </row>
    <row r="18" spans="14:21" x14ac:dyDescent="0.2">
      <c r="N18">
        <v>448</v>
      </c>
      <c r="O18">
        <v>0.68300000000000005</v>
      </c>
      <c r="P18">
        <v>18.899999999999999</v>
      </c>
      <c r="R18">
        <v>133800</v>
      </c>
      <c r="S18">
        <v>18.3</v>
      </c>
      <c r="T18">
        <v>18.899999999999999</v>
      </c>
      <c r="U18">
        <v>19.5</v>
      </c>
    </row>
    <row r="19" spans="14:21" x14ac:dyDescent="0.2">
      <c r="N19">
        <v>453</v>
      </c>
      <c r="O19">
        <v>0.67600000000000005</v>
      </c>
      <c r="P19">
        <v>18.7</v>
      </c>
      <c r="R19">
        <v>135000</v>
      </c>
      <c r="S19">
        <v>18.100000000000001</v>
      </c>
      <c r="T19">
        <v>18.7</v>
      </c>
      <c r="U19">
        <v>19.3</v>
      </c>
    </row>
    <row r="20" spans="14:21" x14ac:dyDescent="0.2">
      <c r="N20">
        <v>458</v>
      </c>
      <c r="O20">
        <v>0.67600000000000005</v>
      </c>
      <c r="P20">
        <v>18.7</v>
      </c>
      <c r="R20">
        <v>139000</v>
      </c>
      <c r="S20">
        <v>18.100000000000001</v>
      </c>
      <c r="T20">
        <v>18.7</v>
      </c>
      <c r="U20">
        <v>19.3</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134</v>
      </c>
      <c r="B2">
        <v>-12.7</v>
      </c>
      <c r="C2">
        <v>-49.02</v>
      </c>
      <c r="D2" t="s">
        <v>215</v>
      </c>
      <c r="N2">
        <v>920</v>
      </c>
      <c r="P2">
        <v>6.84</v>
      </c>
      <c r="R2">
        <v>124100</v>
      </c>
      <c r="T2">
        <v>6.84</v>
      </c>
      <c r="V2" t="s">
        <v>136</v>
      </c>
      <c r="W2" t="s">
        <v>295</v>
      </c>
      <c r="Y2" t="s">
        <v>296</v>
      </c>
      <c r="Z2">
        <v>-3380</v>
      </c>
      <c r="AA2" t="s">
        <v>209</v>
      </c>
    </row>
    <row r="3" spans="1:27" x14ac:dyDescent="0.2">
      <c r="N3">
        <v>1040</v>
      </c>
      <c r="P3">
        <v>1.08</v>
      </c>
      <c r="R3">
        <v>138410</v>
      </c>
      <c r="T3">
        <v>1.08</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A21"/>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137</v>
      </c>
      <c r="B2">
        <v>117.419</v>
      </c>
      <c r="C2">
        <v>20.053000000000001</v>
      </c>
      <c r="D2" t="s">
        <v>199</v>
      </c>
      <c r="N2">
        <v>109.64</v>
      </c>
      <c r="O2">
        <v>3.1150000000000002</v>
      </c>
      <c r="P2">
        <v>24.31</v>
      </c>
      <c r="R2">
        <v>115770</v>
      </c>
      <c r="T2">
        <v>24.31</v>
      </c>
      <c r="V2" t="s">
        <v>139</v>
      </c>
      <c r="W2" t="s">
        <v>297</v>
      </c>
      <c r="X2" t="s">
        <v>298</v>
      </c>
      <c r="Y2" t="s">
        <v>299</v>
      </c>
      <c r="Z2">
        <v>-2037</v>
      </c>
    </row>
    <row r="3" spans="1:27" x14ac:dyDescent="0.2">
      <c r="N3">
        <v>109.67</v>
      </c>
      <c r="O3">
        <v>4.1269999999999998</v>
      </c>
      <c r="P3">
        <v>28.01</v>
      </c>
      <c r="R3">
        <v>115850</v>
      </c>
      <c r="T3">
        <v>28.01</v>
      </c>
    </row>
    <row r="4" spans="1:27" x14ac:dyDescent="0.2">
      <c r="N4">
        <v>113.74</v>
      </c>
      <c r="O4">
        <v>3.3170000000000002</v>
      </c>
      <c r="P4">
        <v>25.14</v>
      </c>
      <c r="R4">
        <v>131280</v>
      </c>
      <c r="T4">
        <v>25.14</v>
      </c>
    </row>
    <row r="5" spans="1:27" x14ac:dyDescent="0.2">
      <c r="N5">
        <v>113.77</v>
      </c>
      <c r="O5">
        <v>2.9550000000000001</v>
      </c>
      <c r="P5">
        <v>23.62</v>
      </c>
      <c r="R5">
        <v>131340</v>
      </c>
      <c r="T5">
        <v>23.62</v>
      </c>
    </row>
    <row r="6" spans="1:27" x14ac:dyDescent="0.2">
      <c r="N6">
        <v>114.21</v>
      </c>
      <c r="O6">
        <v>3.4870000000000001</v>
      </c>
      <c r="P6">
        <v>25.8</v>
      </c>
      <c r="R6">
        <v>132220</v>
      </c>
      <c r="T6">
        <v>25.8</v>
      </c>
    </row>
    <row r="7" spans="1:27" x14ac:dyDescent="0.2">
      <c r="N7">
        <v>114.24</v>
      </c>
      <c r="O7">
        <v>3.4590000000000001</v>
      </c>
      <c r="P7">
        <v>25.69</v>
      </c>
      <c r="R7">
        <v>132280</v>
      </c>
      <c r="T7">
        <v>25.69</v>
      </c>
    </row>
    <row r="8" spans="1:27" x14ac:dyDescent="0.2">
      <c r="N8">
        <v>114.61</v>
      </c>
      <c r="O8">
        <v>3.4220000000000002</v>
      </c>
      <c r="P8">
        <v>25.55</v>
      </c>
      <c r="R8">
        <v>133050</v>
      </c>
      <c r="T8">
        <v>25.55</v>
      </c>
    </row>
    <row r="9" spans="1:27" x14ac:dyDescent="0.2">
      <c r="N9">
        <v>114.64</v>
      </c>
      <c r="O9">
        <v>3.4569999999999999</v>
      </c>
      <c r="P9">
        <v>25.68</v>
      </c>
      <c r="R9">
        <v>133130</v>
      </c>
      <c r="T9">
        <v>25.68</v>
      </c>
    </row>
    <row r="10" spans="1:27" x14ac:dyDescent="0.2">
      <c r="N10">
        <v>115.12</v>
      </c>
      <c r="O10">
        <v>3.5139999999999998</v>
      </c>
      <c r="P10">
        <v>25.9</v>
      </c>
      <c r="R10">
        <v>134330</v>
      </c>
      <c r="T10">
        <v>25.9</v>
      </c>
    </row>
    <row r="11" spans="1:27" x14ac:dyDescent="0.2">
      <c r="N11">
        <v>115.14</v>
      </c>
      <c r="O11">
        <v>3.4849999999999999</v>
      </c>
      <c r="P11">
        <v>25.79</v>
      </c>
      <c r="R11">
        <v>134380</v>
      </c>
      <c r="T11">
        <v>25.79</v>
      </c>
    </row>
    <row r="12" spans="1:27" x14ac:dyDescent="0.2">
      <c r="N12">
        <v>115.28</v>
      </c>
      <c r="O12">
        <v>3.089</v>
      </c>
      <c r="P12">
        <v>24.2</v>
      </c>
      <c r="R12">
        <v>134730</v>
      </c>
      <c r="T12">
        <v>24.2</v>
      </c>
    </row>
    <row r="13" spans="1:27" x14ac:dyDescent="0.2">
      <c r="N13">
        <v>115.29</v>
      </c>
      <c r="O13">
        <v>3.1040000000000001</v>
      </c>
      <c r="P13">
        <v>24.26</v>
      </c>
      <c r="R13">
        <v>134750</v>
      </c>
      <c r="T13">
        <v>24.26</v>
      </c>
    </row>
    <row r="14" spans="1:27" x14ac:dyDescent="0.2">
      <c r="N14">
        <v>115.71</v>
      </c>
      <c r="O14">
        <v>3.3290000000000002</v>
      </c>
      <c r="P14">
        <v>25.19</v>
      </c>
      <c r="R14">
        <v>135800</v>
      </c>
      <c r="T14">
        <v>25.19</v>
      </c>
    </row>
    <row r="15" spans="1:27" x14ac:dyDescent="0.2">
      <c r="N15">
        <v>115.79</v>
      </c>
      <c r="O15">
        <v>3.2320000000000002</v>
      </c>
      <c r="P15">
        <v>24.8</v>
      </c>
      <c r="R15">
        <v>136000</v>
      </c>
      <c r="T15">
        <v>24.8</v>
      </c>
    </row>
    <row r="16" spans="1:27" x14ac:dyDescent="0.2">
      <c r="N16">
        <v>116.11</v>
      </c>
      <c r="O16">
        <v>3.2810000000000001</v>
      </c>
      <c r="P16">
        <v>24.99</v>
      </c>
      <c r="R16">
        <v>136800</v>
      </c>
      <c r="T16">
        <v>24.99</v>
      </c>
    </row>
    <row r="17" spans="14:20" x14ac:dyDescent="0.2">
      <c r="N17">
        <v>116.15</v>
      </c>
      <c r="O17">
        <v>3.1320000000000001</v>
      </c>
      <c r="P17">
        <v>24.38</v>
      </c>
      <c r="R17">
        <v>136900</v>
      </c>
      <c r="T17">
        <v>24.38</v>
      </c>
    </row>
    <row r="18" spans="14:20" x14ac:dyDescent="0.2">
      <c r="N18">
        <v>116.62</v>
      </c>
      <c r="O18">
        <v>3.1139999999999999</v>
      </c>
      <c r="P18">
        <v>24.31</v>
      </c>
      <c r="R18">
        <v>138060</v>
      </c>
      <c r="T18">
        <v>24.31</v>
      </c>
    </row>
    <row r="19" spans="14:20" x14ac:dyDescent="0.2">
      <c r="N19">
        <v>116.64</v>
      </c>
      <c r="O19">
        <v>3.6120000000000001</v>
      </c>
      <c r="P19">
        <v>26.26</v>
      </c>
      <c r="R19">
        <v>138130</v>
      </c>
      <c r="T19">
        <v>26.26</v>
      </c>
    </row>
    <row r="20" spans="14:20" x14ac:dyDescent="0.2">
      <c r="N20">
        <v>116.78</v>
      </c>
      <c r="O20">
        <v>3.5219999999999998</v>
      </c>
      <c r="P20">
        <v>25.93</v>
      </c>
      <c r="R20">
        <v>138480</v>
      </c>
      <c r="T20">
        <v>25.93</v>
      </c>
    </row>
    <row r="21" spans="14:20" x14ac:dyDescent="0.2">
      <c r="N21">
        <v>117.32</v>
      </c>
      <c r="O21">
        <v>2.9649999999999999</v>
      </c>
      <c r="P21">
        <v>23.66</v>
      </c>
      <c r="R21">
        <v>139730</v>
      </c>
      <c r="T21">
        <v>23.66</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A2"/>
  <sheetViews>
    <sheetView topLeftCell="E1" workbookViewId="0">
      <selection activeCell="W9" sqref="W9"/>
    </sheetView>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140</v>
      </c>
      <c r="B2">
        <v>145.22999999999999</v>
      </c>
      <c r="C2">
        <v>-46.43</v>
      </c>
      <c r="D2" t="s">
        <v>28</v>
      </c>
      <c r="N2">
        <v>158.5</v>
      </c>
      <c r="O2">
        <v>0.55400000000000005</v>
      </c>
      <c r="P2">
        <v>17.2</v>
      </c>
      <c r="R2">
        <v>116463</v>
      </c>
      <c r="S2">
        <v>15.7</v>
      </c>
      <c r="T2">
        <v>17.2</v>
      </c>
      <c r="U2">
        <v>18.7</v>
      </c>
      <c r="V2" t="s">
        <v>340</v>
      </c>
      <c r="W2" t="s">
        <v>300</v>
      </c>
      <c r="X2" t="s">
        <v>301</v>
      </c>
      <c r="Y2" t="s">
        <v>302</v>
      </c>
      <c r="Z2">
        <v>-3360</v>
      </c>
      <c r="AA2" t="s">
        <v>209</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A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141</v>
      </c>
      <c r="B2">
        <v>106.52</v>
      </c>
      <c r="C2">
        <v>-44.88</v>
      </c>
      <c r="D2" t="s">
        <v>215</v>
      </c>
      <c r="N2">
        <v>249</v>
      </c>
      <c r="O2">
        <v>13</v>
      </c>
      <c r="P2">
        <v>8.1950000000000003</v>
      </c>
      <c r="R2">
        <v>122000</v>
      </c>
      <c r="S2">
        <v>5.5950000000000006</v>
      </c>
      <c r="T2">
        <v>8.1950000000000003</v>
      </c>
      <c r="U2">
        <v>10.795</v>
      </c>
      <c r="V2" t="s">
        <v>143</v>
      </c>
      <c r="W2" t="s">
        <v>303</v>
      </c>
      <c r="Y2" t="s">
        <v>304</v>
      </c>
      <c r="Z2">
        <v>-3863</v>
      </c>
      <c r="AA2" t="s">
        <v>266</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A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144</v>
      </c>
      <c r="B2">
        <v>90.25</v>
      </c>
      <c r="C2">
        <v>-48.28</v>
      </c>
      <c r="D2" t="s">
        <v>215</v>
      </c>
      <c r="N2">
        <v>427</v>
      </c>
      <c r="O2">
        <v>30</v>
      </c>
      <c r="P2">
        <v>5.2050000000000001</v>
      </c>
      <c r="R2">
        <v>128000</v>
      </c>
      <c r="S2">
        <v>2.4049999999999998</v>
      </c>
      <c r="T2">
        <v>5.2050000000000001</v>
      </c>
      <c r="U2">
        <v>8.004999999999999</v>
      </c>
      <c r="V2" t="s">
        <v>143</v>
      </c>
      <c r="W2" t="s">
        <v>305</v>
      </c>
      <c r="Y2" t="s">
        <v>306</v>
      </c>
      <c r="Z2">
        <v>-3542</v>
      </c>
      <c r="AA2" t="s">
        <v>266</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145</v>
      </c>
      <c r="B2">
        <v>90.17</v>
      </c>
      <c r="C2">
        <v>-46.05</v>
      </c>
      <c r="D2" t="s">
        <v>215</v>
      </c>
      <c r="N2">
        <v>480</v>
      </c>
      <c r="O2">
        <v>2</v>
      </c>
      <c r="P2">
        <v>8.0150000000000006</v>
      </c>
      <c r="R2">
        <v>122000</v>
      </c>
      <c r="S2">
        <v>4.6150000000000002</v>
      </c>
      <c r="T2">
        <v>8.0150000000000006</v>
      </c>
      <c r="U2">
        <v>11.414999999999999</v>
      </c>
      <c r="V2" t="s">
        <v>143</v>
      </c>
      <c r="W2" t="s">
        <v>307</v>
      </c>
      <c r="Y2" t="s">
        <v>308</v>
      </c>
      <c r="Z2">
        <v>-3291</v>
      </c>
      <c r="AA2" t="s">
        <v>266</v>
      </c>
    </row>
    <row r="3" spans="1:27" x14ac:dyDescent="0.2">
      <c r="N3">
        <v>510</v>
      </c>
      <c r="O3">
        <v>296</v>
      </c>
      <c r="P3">
        <v>5.35</v>
      </c>
      <c r="R3">
        <v>135000</v>
      </c>
      <c r="S3">
        <v>2.5499999999999998</v>
      </c>
      <c r="T3">
        <v>5.35</v>
      </c>
      <c r="U3">
        <v>8.1499999999999986</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A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146</v>
      </c>
      <c r="B2">
        <v>94.88</v>
      </c>
      <c r="C2">
        <v>-42.18</v>
      </c>
      <c r="D2" t="s">
        <v>215</v>
      </c>
      <c r="N2">
        <v>199</v>
      </c>
      <c r="O2">
        <v>0</v>
      </c>
      <c r="P2">
        <v>13.164999999999999</v>
      </c>
      <c r="R2">
        <v>122000</v>
      </c>
      <c r="S2">
        <v>7.964999999999999</v>
      </c>
      <c r="T2">
        <v>13.164999999999999</v>
      </c>
      <c r="U2">
        <v>18.364999999999998</v>
      </c>
      <c r="V2" t="s">
        <v>143</v>
      </c>
      <c r="W2" t="s">
        <v>309</v>
      </c>
      <c r="Y2" t="s">
        <v>306</v>
      </c>
      <c r="Z2">
        <v>-3328</v>
      </c>
      <c r="AA2" t="s">
        <v>266</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A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147</v>
      </c>
      <c r="B2">
        <v>-123.12</v>
      </c>
      <c r="C2">
        <v>-53.67</v>
      </c>
      <c r="D2" t="s">
        <v>199</v>
      </c>
      <c r="N2">
        <v>130</v>
      </c>
      <c r="P2">
        <v>3.105</v>
      </c>
      <c r="R2">
        <v>115000</v>
      </c>
      <c r="T2">
        <v>3.105</v>
      </c>
      <c r="V2" t="s">
        <v>149</v>
      </c>
      <c r="W2" t="s">
        <v>310</v>
      </c>
      <c r="Y2" t="s">
        <v>311</v>
      </c>
      <c r="Z2">
        <v>-2964</v>
      </c>
    </row>
    <row r="3" spans="1:27" x14ac:dyDescent="0.2">
      <c r="N3">
        <v>140</v>
      </c>
      <c r="P3">
        <v>4.8499999999999996</v>
      </c>
      <c r="R3">
        <v>119000</v>
      </c>
      <c r="T3">
        <v>4.8499999999999996</v>
      </c>
    </row>
    <row r="4" spans="1:27" x14ac:dyDescent="0.2">
      <c r="N4">
        <v>150</v>
      </c>
      <c r="P4">
        <v>4.8</v>
      </c>
      <c r="R4">
        <v>123000</v>
      </c>
      <c r="T4">
        <v>4.8</v>
      </c>
    </row>
    <row r="5" spans="1:27" x14ac:dyDescent="0.2">
      <c r="N5">
        <v>160</v>
      </c>
      <c r="P5">
        <v>3.12</v>
      </c>
      <c r="R5">
        <v>128000</v>
      </c>
      <c r="T5">
        <v>3.12</v>
      </c>
    </row>
    <row r="6" spans="1:27" x14ac:dyDescent="0.2">
      <c r="N6">
        <v>170</v>
      </c>
      <c r="P6">
        <v>1.22</v>
      </c>
      <c r="R6">
        <v>138500</v>
      </c>
      <c r="T6">
        <v>1.22</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A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150</v>
      </c>
      <c r="B2">
        <v>167.67449999999999</v>
      </c>
      <c r="C2">
        <v>-40.507832999999998</v>
      </c>
      <c r="D2" t="s">
        <v>28</v>
      </c>
      <c r="N2">
        <v>207</v>
      </c>
      <c r="O2">
        <v>0.57076300000000002</v>
      </c>
      <c r="P2">
        <v>15.962529999999999</v>
      </c>
      <c r="R2">
        <v>123000</v>
      </c>
      <c r="T2">
        <v>15.962529999999999</v>
      </c>
      <c r="V2" t="s">
        <v>152</v>
      </c>
      <c r="W2" t="s">
        <v>312</v>
      </c>
      <c r="X2" t="s">
        <v>313</v>
      </c>
      <c r="Y2" t="s">
        <v>314</v>
      </c>
      <c r="Z2">
        <v>-1068</v>
      </c>
    </row>
    <row r="3" spans="1:27" x14ac:dyDescent="0.2">
      <c r="N3">
        <v>214</v>
      </c>
      <c r="O3">
        <v>0.66887799999999997</v>
      </c>
      <c r="P3">
        <v>18.935690000000001</v>
      </c>
      <c r="R3">
        <v>125000</v>
      </c>
      <c r="T3">
        <v>18.935690000000001</v>
      </c>
    </row>
    <row r="4" spans="1:27" x14ac:dyDescent="0.2">
      <c r="N4">
        <v>238</v>
      </c>
      <c r="O4">
        <v>0.56059499999999995</v>
      </c>
      <c r="P4">
        <v>15.654400000000001</v>
      </c>
      <c r="R4">
        <v>135000</v>
      </c>
      <c r="T4">
        <v>15.654400000000001</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A7"/>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153</v>
      </c>
      <c r="B2">
        <v>167.58330000000001</v>
      </c>
      <c r="C2">
        <v>50.35</v>
      </c>
      <c r="D2" t="s">
        <v>28</v>
      </c>
      <c r="P2">
        <v>12.96</v>
      </c>
      <c r="R2">
        <v>117500</v>
      </c>
      <c r="T2">
        <v>12.96</v>
      </c>
      <c r="V2" t="s">
        <v>155</v>
      </c>
      <c r="W2" t="s">
        <v>315</v>
      </c>
      <c r="Y2" t="s">
        <v>316</v>
      </c>
      <c r="Z2">
        <v>-3244</v>
      </c>
    </row>
    <row r="3" spans="1:27" x14ac:dyDescent="0.2">
      <c r="P3">
        <v>13.62</v>
      </c>
      <c r="R3">
        <v>120000</v>
      </c>
      <c r="T3">
        <v>13.62</v>
      </c>
    </row>
    <row r="4" spans="1:27" x14ac:dyDescent="0.2">
      <c r="P4">
        <v>15.83</v>
      </c>
      <c r="R4">
        <v>124000</v>
      </c>
      <c r="T4">
        <v>15.83</v>
      </c>
    </row>
    <row r="5" spans="1:27" x14ac:dyDescent="0.2">
      <c r="P5">
        <v>17.14</v>
      </c>
      <c r="R5">
        <v>129900</v>
      </c>
      <c r="T5">
        <v>17.14</v>
      </c>
    </row>
    <row r="6" spans="1:27" x14ac:dyDescent="0.2">
      <c r="P6">
        <v>9.5399999999999991</v>
      </c>
      <c r="R6">
        <v>135440</v>
      </c>
      <c r="T6">
        <v>9.5399999999999991</v>
      </c>
    </row>
    <row r="7" spans="1:27" x14ac:dyDescent="0.2">
      <c r="P7">
        <v>5.59</v>
      </c>
      <c r="R7">
        <v>138110</v>
      </c>
      <c r="T7">
        <v>5.59</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A11"/>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156</v>
      </c>
      <c r="B2">
        <v>51.47</v>
      </c>
      <c r="C2">
        <v>2.98</v>
      </c>
      <c r="D2" t="s">
        <v>28</v>
      </c>
      <c r="N2">
        <v>461.5</v>
      </c>
      <c r="O2">
        <v>0.95199999999999996</v>
      </c>
      <c r="P2">
        <v>28.69</v>
      </c>
      <c r="R2">
        <v>115730</v>
      </c>
      <c r="S2">
        <v>24.106134719435829</v>
      </c>
      <c r="T2">
        <v>28.69</v>
      </c>
      <c r="U2">
        <v>36.617533588668003</v>
      </c>
      <c r="V2" t="s">
        <v>158</v>
      </c>
      <c r="W2" t="s">
        <v>317</v>
      </c>
      <c r="X2" t="s">
        <v>242</v>
      </c>
      <c r="Y2" t="s">
        <v>318</v>
      </c>
      <c r="Z2">
        <v>-5106</v>
      </c>
    </row>
    <row r="3" spans="1:27" x14ac:dyDescent="0.2">
      <c r="N3">
        <v>472</v>
      </c>
      <c r="O3">
        <v>0.92300000000000004</v>
      </c>
      <c r="P3">
        <v>27.11</v>
      </c>
      <c r="R3">
        <v>118340</v>
      </c>
      <c r="S3">
        <v>23.170550793361301</v>
      </c>
      <c r="T3">
        <v>27.11</v>
      </c>
      <c r="U3">
        <v>34.368799927047228</v>
      </c>
    </row>
    <row r="4" spans="1:27" x14ac:dyDescent="0.2">
      <c r="N4">
        <v>482.5</v>
      </c>
      <c r="O4">
        <v>0.94599999999999995</v>
      </c>
      <c r="P4">
        <v>28.37</v>
      </c>
      <c r="R4">
        <v>120560</v>
      </c>
      <c r="S4">
        <v>23.907722657912331</v>
      </c>
      <c r="T4">
        <v>28.37</v>
      </c>
      <c r="U4">
        <v>36.309692382515649</v>
      </c>
    </row>
    <row r="5" spans="1:27" x14ac:dyDescent="0.2">
      <c r="N5">
        <v>492</v>
      </c>
      <c r="O5">
        <v>0.94899999999999995</v>
      </c>
      <c r="P5">
        <v>28.5</v>
      </c>
      <c r="R5">
        <v>122380</v>
      </c>
      <c r="S5">
        <v>23.989087482521729</v>
      </c>
      <c r="T5">
        <v>28.5</v>
      </c>
      <c r="U5">
        <v>36.391057207125058</v>
      </c>
    </row>
    <row r="6" spans="1:27" x14ac:dyDescent="0.2">
      <c r="N6">
        <v>501</v>
      </c>
      <c r="O6">
        <v>0.94099999999999995</v>
      </c>
      <c r="P6">
        <v>28.07</v>
      </c>
      <c r="R6">
        <v>124120</v>
      </c>
      <c r="S6">
        <v>23.692834214845881</v>
      </c>
      <c r="T6">
        <v>28.07</v>
      </c>
      <c r="U6">
        <v>35.827310474800903</v>
      </c>
    </row>
    <row r="7" spans="1:27" x14ac:dyDescent="0.2">
      <c r="N7">
        <v>511.5</v>
      </c>
      <c r="O7">
        <v>0.96099999999999997</v>
      </c>
      <c r="P7">
        <v>29.21</v>
      </c>
      <c r="R7">
        <v>126140</v>
      </c>
      <c r="S7">
        <v>24.395117636330479</v>
      </c>
      <c r="T7">
        <v>29.21</v>
      </c>
      <c r="U7">
        <v>37.368550671773363</v>
      </c>
    </row>
    <row r="8" spans="1:27" x14ac:dyDescent="0.2">
      <c r="N8">
        <v>523</v>
      </c>
      <c r="O8">
        <v>0.97599999999999998</v>
      </c>
      <c r="P8">
        <v>30.14</v>
      </c>
      <c r="R8">
        <v>128710</v>
      </c>
      <c r="S8">
        <v>24.911718645510369</v>
      </c>
      <c r="T8">
        <v>30.14</v>
      </c>
      <c r="U8">
        <v>38.626838105659907</v>
      </c>
    </row>
    <row r="9" spans="1:27" x14ac:dyDescent="0.2">
      <c r="N9">
        <v>531</v>
      </c>
      <c r="O9">
        <v>0.96599999999999997</v>
      </c>
      <c r="P9">
        <v>29.52</v>
      </c>
      <c r="R9">
        <v>131360</v>
      </c>
      <c r="S9">
        <v>24.547053316311018</v>
      </c>
      <c r="T9">
        <v>29.52</v>
      </c>
      <c r="U9">
        <v>37.763662228706913</v>
      </c>
    </row>
    <row r="10" spans="1:27" x14ac:dyDescent="0.2">
      <c r="N10">
        <v>541.5</v>
      </c>
      <c r="O10">
        <v>0.94299999999999995</v>
      </c>
      <c r="P10">
        <v>28.15</v>
      </c>
      <c r="R10">
        <v>134830</v>
      </c>
      <c r="S10">
        <v>23.809310596388841</v>
      </c>
      <c r="T10">
        <v>28.15</v>
      </c>
      <c r="U10">
        <v>35.943786856343863</v>
      </c>
    </row>
    <row r="11" spans="1:27" x14ac:dyDescent="0.2">
      <c r="N11">
        <v>551</v>
      </c>
      <c r="O11">
        <v>0.95699999999999996</v>
      </c>
      <c r="P11">
        <v>28.95</v>
      </c>
      <c r="R11">
        <v>137790</v>
      </c>
      <c r="S11">
        <v>24.208070399416378</v>
      </c>
      <c r="T11">
        <v>28.95</v>
      </c>
      <c r="U11">
        <v>37.096391877925711</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A10"/>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159</v>
      </c>
      <c r="B2">
        <v>172.3443</v>
      </c>
      <c r="C2">
        <v>5.5571999999999999</v>
      </c>
      <c r="D2" t="s">
        <v>199</v>
      </c>
      <c r="N2">
        <v>115</v>
      </c>
      <c r="O2">
        <v>4.266</v>
      </c>
      <c r="P2">
        <v>28.9</v>
      </c>
      <c r="R2">
        <v>115000</v>
      </c>
      <c r="T2">
        <v>28.9</v>
      </c>
      <c r="V2" t="s">
        <v>161</v>
      </c>
      <c r="W2" t="s">
        <v>319</v>
      </c>
      <c r="X2" t="s">
        <v>320</v>
      </c>
      <c r="Y2" t="s">
        <v>321</v>
      </c>
      <c r="Z2">
        <v>-1254</v>
      </c>
    </row>
    <row r="3" spans="1:27" x14ac:dyDescent="0.2">
      <c r="N3">
        <v>118</v>
      </c>
      <c r="O3">
        <v>4.04</v>
      </c>
      <c r="P3">
        <v>28.4</v>
      </c>
      <c r="R3">
        <v>118000</v>
      </c>
      <c r="T3">
        <v>28.4</v>
      </c>
    </row>
    <row r="4" spans="1:27" x14ac:dyDescent="0.2">
      <c r="N4">
        <v>121</v>
      </c>
      <c r="O4">
        <v>4.4729999999999999</v>
      </c>
      <c r="P4">
        <v>29.4</v>
      </c>
      <c r="R4">
        <v>121000</v>
      </c>
      <c r="T4">
        <v>29.4</v>
      </c>
    </row>
    <row r="5" spans="1:27" x14ac:dyDescent="0.2">
      <c r="N5">
        <v>124</v>
      </c>
      <c r="O5">
        <v>4.7460000000000004</v>
      </c>
      <c r="P5">
        <v>29.9</v>
      </c>
      <c r="R5">
        <v>124000</v>
      </c>
      <c r="T5">
        <v>29.9</v>
      </c>
    </row>
    <row r="6" spans="1:27" x14ac:dyDescent="0.2">
      <c r="N6">
        <v>127</v>
      </c>
      <c r="O6">
        <v>4.5330000000000004</v>
      </c>
      <c r="P6">
        <v>29.5</v>
      </c>
      <c r="R6">
        <v>127000</v>
      </c>
      <c r="T6">
        <v>29.5</v>
      </c>
    </row>
    <row r="7" spans="1:27" x14ac:dyDescent="0.2">
      <c r="N7">
        <v>130</v>
      </c>
      <c r="O7">
        <v>4.5579999999999998</v>
      </c>
      <c r="P7">
        <v>29.5</v>
      </c>
      <c r="R7">
        <v>130000</v>
      </c>
      <c r="T7">
        <v>29.5</v>
      </c>
    </row>
    <row r="8" spans="1:27" x14ac:dyDescent="0.2">
      <c r="N8">
        <v>133</v>
      </c>
      <c r="O8">
        <v>4.1980000000000004</v>
      </c>
      <c r="P8">
        <v>28.8</v>
      </c>
      <c r="R8">
        <v>133000</v>
      </c>
      <c r="T8">
        <v>28.8</v>
      </c>
    </row>
    <row r="9" spans="1:27" x14ac:dyDescent="0.2">
      <c r="N9">
        <v>136</v>
      </c>
      <c r="O9">
        <v>4.1959999999999997</v>
      </c>
      <c r="P9">
        <v>28.8</v>
      </c>
      <c r="R9">
        <v>136000</v>
      </c>
      <c r="T9">
        <v>28.8</v>
      </c>
    </row>
    <row r="10" spans="1:27" x14ac:dyDescent="0.2">
      <c r="N10">
        <v>139</v>
      </c>
      <c r="O10">
        <v>3.9119999999999999</v>
      </c>
      <c r="P10">
        <v>28.1</v>
      </c>
      <c r="R10">
        <v>139000</v>
      </c>
      <c r="T10">
        <v>28.1</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A9"/>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162</v>
      </c>
      <c r="B2">
        <v>141.77000000000001</v>
      </c>
      <c r="C2">
        <v>2.0299999999999998</v>
      </c>
      <c r="D2" t="s">
        <v>199</v>
      </c>
      <c r="N2">
        <v>630</v>
      </c>
      <c r="O2">
        <v>4.5999999999999996</v>
      </c>
      <c r="P2">
        <v>28.7</v>
      </c>
      <c r="R2">
        <v>115000</v>
      </c>
      <c r="T2">
        <v>28.7</v>
      </c>
      <c r="V2" t="s">
        <v>164</v>
      </c>
      <c r="W2" t="s">
        <v>322</v>
      </c>
      <c r="Y2" t="s">
        <v>323</v>
      </c>
      <c r="Z2">
        <v>-2547</v>
      </c>
    </row>
    <row r="3" spans="1:27" x14ac:dyDescent="0.2">
      <c r="N3">
        <v>640</v>
      </c>
      <c r="O3">
        <v>4.9000000000000004</v>
      </c>
      <c r="P3">
        <v>29.3</v>
      </c>
      <c r="R3">
        <v>118000</v>
      </c>
      <c r="T3">
        <v>29.3</v>
      </c>
    </row>
    <row r="4" spans="1:27" x14ac:dyDescent="0.2">
      <c r="N4">
        <v>650</v>
      </c>
      <c r="O4">
        <v>4.9000000000000004</v>
      </c>
      <c r="P4">
        <v>29.5</v>
      </c>
      <c r="R4">
        <v>121000</v>
      </c>
      <c r="T4">
        <v>29.5</v>
      </c>
    </row>
    <row r="5" spans="1:27" x14ac:dyDescent="0.2">
      <c r="N5">
        <v>680</v>
      </c>
      <c r="O5">
        <v>4.3</v>
      </c>
      <c r="P5">
        <v>27.9</v>
      </c>
      <c r="R5">
        <v>131000</v>
      </c>
      <c r="T5">
        <v>27.9</v>
      </c>
    </row>
    <row r="6" spans="1:27" x14ac:dyDescent="0.2">
      <c r="N6">
        <v>690</v>
      </c>
      <c r="O6">
        <v>3.6</v>
      </c>
      <c r="P6">
        <v>26.3</v>
      </c>
      <c r="R6">
        <v>134000</v>
      </c>
      <c r="T6">
        <v>26.3</v>
      </c>
    </row>
    <row r="7" spans="1:27" x14ac:dyDescent="0.2">
      <c r="N7">
        <v>700</v>
      </c>
      <c r="O7">
        <v>4.2</v>
      </c>
      <c r="P7">
        <v>27.9</v>
      </c>
      <c r="R7">
        <v>136000</v>
      </c>
      <c r="T7">
        <v>27.9</v>
      </c>
    </row>
    <row r="8" spans="1:27" x14ac:dyDescent="0.2">
      <c r="N8">
        <v>710</v>
      </c>
      <c r="O8">
        <v>3.9</v>
      </c>
      <c r="P8">
        <v>26.9</v>
      </c>
      <c r="R8">
        <v>138000</v>
      </c>
      <c r="T8">
        <v>26.9</v>
      </c>
    </row>
    <row r="9" spans="1:27" x14ac:dyDescent="0.2">
      <c r="N9">
        <v>720</v>
      </c>
      <c r="O9">
        <v>3.6</v>
      </c>
      <c r="P9">
        <v>26.2</v>
      </c>
      <c r="R9">
        <v>140000</v>
      </c>
      <c r="T9">
        <v>26.2</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A1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165</v>
      </c>
      <c r="B2">
        <v>146.875</v>
      </c>
      <c r="C2">
        <v>-48.136699999999998</v>
      </c>
      <c r="D2" t="s">
        <v>28</v>
      </c>
      <c r="N2">
        <v>174.7</v>
      </c>
      <c r="O2">
        <v>0.40799999999999997</v>
      </c>
      <c r="P2">
        <v>10.9</v>
      </c>
      <c r="R2">
        <v>119200</v>
      </c>
      <c r="T2">
        <v>10.9</v>
      </c>
      <c r="V2" t="s">
        <v>167</v>
      </c>
      <c r="W2" t="s">
        <v>324</v>
      </c>
      <c r="Y2" t="s">
        <v>325</v>
      </c>
      <c r="Z2">
        <v>-2321</v>
      </c>
    </row>
    <row r="3" spans="1:27" x14ac:dyDescent="0.2">
      <c r="N3">
        <v>176.8</v>
      </c>
      <c r="O3">
        <v>0.47799999999999998</v>
      </c>
      <c r="P3">
        <v>12.9</v>
      </c>
      <c r="R3">
        <v>120600</v>
      </c>
      <c r="T3">
        <v>12.9</v>
      </c>
    </row>
    <row r="4" spans="1:27" x14ac:dyDescent="0.2">
      <c r="N4">
        <v>178.9</v>
      </c>
      <c r="O4">
        <v>0.49399999999999999</v>
      </c>
      <c r="P4">
        <v>13.4</v>
      </c>
      <c r="R4">
        <v>122100</v>
      </c>
      <c r="T4">
        <v>13.4</v>
      </c>
    </row>
    <row r="5" spans="1:27" x14ac:dyDescent="0.2">
      <c r="N5">
        <v>181</v>
      </c>
      <c r="O5">
        <v>0.56299999999999994</v>
      </c>
      <c r="P5">
        <v>15.4</v>
      </c>
      <c r="R5">
        <v>123600</v>
      </c>
      <c r="T5">
        <v>15.4</v>
      </c>
    </row>
    <row r="6" spans="1:27" x14ac:dyDescent="0.2">
      <c r="N6">
        <v>183.1</v>
      </c>
      <c r="O6">
        <v>0.55000000000000004</v>
      </c>
      <c r="P6">
        <v>15</v>
      </c>
      <c r="R6">
        <v>125300</v>
      </c>
      <c r="T6">
        <v>15</v>
      </c>
    </row>
    <row r="7" spans="1:27" x14ac:dyDescent="0.2">
      <c r="N7">
        <v>185.2</v>
      </c>
      <c r="O7">
        <v>0.51200000000000001</v>
      </c>
      <c r="P7">
        <v>13.9</v>
      </c>
      <c r="R7">
        <v>127100</v>
      </c>
      <c r="T7">
        <v>13.9</v>
      </c>
    </row>
    <row r="8" spans="1:27" x14ac:dyDescent="0.2">
      <c r="N8">
        <v>189.3</v>
      </c>
      <c r="O8">
        <v>0.49</v>
      </c>
      <c r="P8">
        <v>13.3</v>
      </c>
      <c r="R8">
        <v>130500</v>
      </c>
      <c r="T8">
        <v>13.3</v>
      </c>
    </row>
    <row r="9" spans="1:27" x14ac:dyDescent="0.2">
      <c r="N9">
        <v>193.1</v>
      </c>
      <c r="O9">
        <v>0.46300000000000002</v>
      </c>
      <c r="P9">
        <v>12.5</v>
      </c>
      <c r="R9">
        <v>133700</v>
      </c>
      <c r="T9">
        <v>12.5</v>
      </c>
    </row>
    <row r="10" spans="1:27" x14ac:dyDescent="0.2">
      <c r="N10">
        <v>195</v>
      </c>
      <c r="O10">
        <v>0.42599999999999999</v>
      </c>
      <c r="P10">
        <v>11.4</v>
      </c>
      <c r="R10">
        <v>135200</v>
      </c>
      <c r="T10">
        <v>11.4</v>
      </c>
    </row>
    <row r="11" spans="1:27" x14ac:dyDescent="0.2">
      <c r="N11">
        <v>196.9</v>
      </c>
      <c r="O11">
        <v>0.38600000000000001</v>
      </c>
      <c r="P11">
        <v>10.199999999999999</v>
      </c>
      <c r="R11">
        <v>136800</v>
      </c>
      <c r="T11">
        <v>10.199999999999999</v>
      </c>
    </row>
    <row r="12" spans="1:27" x14ac:dyDescent="0.2">
      <c r="N12">
        <v>198.8</v>
      </c>
      <c r="O12">
        <v>0.38500000000000001</v>
      </c>
      <c r="P12">
        <v>10.199999999999999</v>
      </c>
      <c r="R12">
        <v>138500</v>
      </c>
      <c r="T12">
        <v>10.199999999999999</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A2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168</v>
      </c>
      <c r="B2">
        <v>32.725433000000002</v>
      </c>
      <c r="C2">
        <v>34.069600000000001</v>
      </c>
      <c r="D2" t="s">
        <v>28</v>
      </c>
      <c r="N2">
        <v>736</v>
      </c>
      <c r="O2">
        <v>0.76</v>
      </c>
      <c r="P2">
        <v>21.22</v>
      </c>
      <c r="R2">
        <v>117100</v>
      </c>
      <c r="T2">
        <v>21.22</v>
      </c>
      <c r="V2" t="s">
        <v>103</v>
      </c>
      <c r="W2" t="s">
        <v>326</v>
      </c>
      <c r="X2" t="s">
        <v>327</v>
      </c>
      <c r="Y2" t="s">
        <v>328</v>
      </c>
      <c r="Z2">
        <v>-2553.1999999999998</v>
      </c>
    </row>
    <row r="3" spans="1:27" x14ac:dyDescent="0.2">
      <c r="N3">
        <v>739</v>
      </c>
      <c r="O3">
        <v>0.73299999999999998</v>
      </c>
      <c r="P3">
        <v>20.420000000000002</v>
      </c>
      <c r="R3">
        <v>117800</v>
      </c>
      <c r="T3">
        <v>20.420000000000002</v>
      </c>
    </row>
    <row r="4" spans="1:27" x14ac:dyDescent="0.2">
      <c r="N4">
        <v>741</v>
      </c>
      <c r="O4">
        <v>0.81100000000000005</v>
      </c>
      <c r="P4">
        <v>22.71</v>
      </c>
      <c r="R4">
        <v>118300</v>
      </c>
      <c r="T4">
        <v>22.71</v>
      </c>
    </row>
    <row r="5" spans="1:27" x14ac:dyDescent="0.2">
      <c r="N5">
        <v>743</v>
      </c>
      <c r="O5">
        <v>0.81799999999999995</v>
      </c>
      <c r="P5">
        <v>22.92</v>
      </c>
      <c r="R5">
        <v>118700</v>
      </c>
      <c r="T5">
        <v>22.92</v>
      </c>
    </row>
    <row r="6" spans="1:27" x14ac:dyDescent="0.2">
      <c r="N6">
        <v>745</v>
      </c>
      <c r="O6">
        <v>0.81100000000000005</v>
      </c>
      <c r="P6">
        <v>22.71</v>
      </c>
      <c r="R6">
        <v>119200</v>
      </c>
      <c r="T6">
        <v>22.71</v>
      </c>
    </row>
    <row r="7" spans="1:27" x14ac:dyDescent="0.2">
      <c r="N7">
        <v>747</v>
      </c>
      <c r="O7">
        <v>0.79</v>
      </c>
      <c r="P7">
        <v>22.08</v>
      </c>
      <c r="R7">
        <v>119600</v>
      </c>
      <c r="T7">
        <v>22.08</v>
      </c>
    </row>
    <row r="8" spans="1:27" x14ac:dyDescent="0.2">
      <c r="N8">
        <v>749</v>
      </c>
      <c r="O8">
        <v>0.77300000000000002</v>
      </c>
      <c r="P8">
        <v>21.6</v>
      </c>
      <c r="R8">
        <v>120100</v>
      </c>
      <c r="T8">
        <v>21.6</v>
      </c>
    </row>
    <row r="9" spans="1:27" x14ac:dyDescent="0.2">
      <c r="N9">
        <v>751</v>
      </c>
      <c r="O9">
        <v>0.78500000000000003</v>
      </c>
      <c r="P9">
        <v>21.96</v>
      </c>
      <c r="R9">
        <v>120500</v>
      </c>
      <c r="T9">
        <v>21.96</v>
      </c>
    </row>
    <row r="10" spans="1:27" x14ac:dyDescent="0.2">
      <c r="N10">
        <v>753</v>
      </c>
      <c r="O10">
        <v>0.76500000000000001</v>
      </c>
      <c r="P10">
        <v>21.36</v>
      </c>
      <c r="R10">
        <v>121000</v>
      </c>
      <c r="T10">
        <v>21.36</v>
      </c>
    </row>
    <row r="11" spans="1:27" x14ac:dyDescent="0.2">
      <c r="N11">
        <v>755</v>
      </c>
      <c r="O11">
        <v>0.76400000000000001</v>
      </c>
      <c r="P11">
        <v>21.34</v>
      </c>
      <c r="R11">
        <v>121400</v>
      </c>
      <c r="T11">
        <v>21.34</v>
      </c>
    </row>
    <row r="12" spans="1:27" x14ac:dyDescent="0.2">
      <c r="N12">
        <v>757</v>
      </c>
      <c r="O12">
        <v>0.76900000000000002</v>
      </c>
      <c r="P12">
        <v>21.46</v>
      </c>
      <c r="R12">
        <v>121900</v>
      </c>
      <c r="T12">
        <v>21.46</v>
      </c>
    </row>
    <row r="13" spans="1:27" x14ac:dyDescent="0.2">
      <c r="N13">
        <v>759</v>
      </c>
      <c r="O13">
        <v>0.77100000000000002</v>
      </c>
      <c r="P13">
        <v>21.52</v>
      </c>
      <c r="R13">
        <v>122300</v>
      </c>
      <c r="T13">
        <v>21.52</v>
      </c>
    </row>
    <row r="14" spans="1:27" x14ac:dyDescent="0.2">
      <c r="N14">
        <v>761</v>
      </c>
      <c r="O14">
        <v>0.77200000000000002</v>
      </c>
      <c r="P14">
        <v>21.57</v>
      </c>
      <c r="R14">
        <v>122800</v>
      </c>
      <c r="T14">
        <v>21.57</v>
      </c>
    </row>
    <row r="15" spans="1:27" x14ac:dyDescent="0.2">
      <c r="N15">
        <v>763</v>
      </c>
      <c r="O15">
        <v>0.72799999999999998</v>
      </c>
      <c r="P15">
        <v>20.260000000000002</v>
      </c>
      <c r="R15">
        <v>123200</v>
      </c>
      <c r="T15">
        <v>20.260000000000002</v>
      </c>
    </row>
    <row r="16" spans="1:27" x14ac:dyDescent="0.2">
      <c r="N16">
        <v>765</v>
      </c>
      <c r="O16">
        <v>0.72</v>
      </c>
      <c r="P16">
        <v>20.03</v>
      </c>
      <c r="R16">
        <v>123700</v>
      </c>
      <c r="T16">
        <v>20.03</v>
      </c>
    </row>
    <row r="17" spans="14:20" x14ac:dyDescent="0.2">
      <c r="N17">
        <v>767</v>
      </c>
      <c r="O17">
        <v>0.68700000000000006</v>
      </c>
      <c r="P17">
        <v>19.07</v>
      </c>
      <c r="R17">
        <v>124200</v>
      </c>
      <c r="T17">
        <v>19.07</v>
      </c>
    </row>
    <row r="18" spans="14:20" x14ac:dyDescent="0.2">
      <c r="N18">
        <v>769</v>
      </c>
      <c r="O18">
        <v>0.68400000000000005</v>
      </c>
      <c r="P18">
        <v>18.989999999999998</v>
      </c>
      <c r="R18">
        <v>124800</v>
      </c>
      <c r="T18">
        <v>18.989999999999998</v>
      </c>
    </row>
    <row r="19" spans="14:20" x14ac:dyDescent="0.2">
      <c r="N19">
        <v>771</v>
      </c>
      <c r="O19">
        <v>0.64400000000000002</v>
      </c>
      <c r="P19">
        <v>17.809999999999999</v>
      </c>
      <c r="R19">
        <v>125300</v>
      </c>
      <c r="T19">
        <v>17.809999999999999</v>
      </c>
    </row>
    <row r="20" spans="14:20" x14ac:dyDescent="0.2">
      <c r="N20">
        <v>773</v>
      </c>
      <c r="O20">
        <v>0.58799999999999997</v>
      </c>
      <c r="P20">
        <v>16.14</v>
      </c>
      <c r="R20">
        <v>125800</v>
      </c>
      <c r="T20">
        <v>16.14</v>
      </c>
    </row>
    <row r="21" spans="14:20" x14ac:dyDescent="0.2">
      <c r="N21">
        <v>775</v>
      </c>
      <c r="O21">
        <v>0.64500000000000002</v>
      </c>
      <c r="P21">
        <v>17.809999999999999</v>
      </c>
      <c r="R21">
        <v>126400</v>
      </c>
      <c r="T21">
        <v>17.809999999999999</v>
      </c>
    </row>
    <row r="22" spans="14:20" x14ac:dyDescent="0.2">
      <c r="N22">
        <v>777</v>
      </c>
      <c r="O22">
        <v>0.67</v>
      </c>
      <c r="P22">
        <v>18.559999999999999</v>
      </c>
      <c r="R22">
        <v>126900</v>
      </c>
      <c r="T22">
        <v>18.559999999999999</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A104"/>
  <sheetViews>
    <sheetView topLeftCell="N1" workbookViewId="0">
      <selection activeCell="Y18" sqref="Y18"/>
    </sheetView>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169</v>
      </c>
      <c r="B2">
        <v>142.69999999999999</v>
      </c>
      <c r="C2">
        <v>-3.1</v>
      </c>
      <c r="D2" t="s">
        <v>199</v>
      </c>
      <c r="N2">
        <v>9194</v>
      </c>
      <c r="O2">
        <v>4.8600000000000003</v>
      </c>
      <c r="P2">
        <v>30.59</v>
      </c>
      <c r="R2">
        <v>115129</v>
      </c>
      <c r="S2">
        <v>29.92</v>
      </c>
      <c r="T2">
        <v>29.98</v>
      </c>
      <c r="U2">
        <v>30.04</v>
      </c>
      <c r="V2" t="s">
        <v>171</v>
      </c>
      <c r="W2" t="s">
        <v>329</v>
      </c>
      <c r="X2" t="s">
        <v>330</v>
      </c>
      <c r="Y2" t="s">
        <v>331</v>
      </c>
      <c r="Z2">
        <v>-1145</v>
      </c>
    </row>
    <row r="3" spans="1:27" x14ac:dyDescent="0.2">
      <c r="N3">
        <v>9204</v>
      </c>
      <c r="O3">
        <v>4.8499999999999996</v>
      </c>
      <c r="P3">
        <v>30.52</v>
      </c>
      <c r="R3">
        <v>115345</v>
      </c>
      <c r="S3">
        <v>29.83</v>
      </c>
      <c r="T3">
        <v>29.93</v>
      </c>
      <c r="U3">
        <v>30.03</v>
      </c>
    </row>
    <row r="4" spans="1:27" x14ac:dyDescent="0.2">
      <c r="N4">
        <v>9214</v>
      </c>
      <c r="O4">
        <v>5.03</v>
      </c>
      <c r="P4">
        <v>31.07</v>
      </c>
      <c r="R4">
        <v>115520</v>
      </c>
      <c r="S4">
        <v>30.37</v>
      </c>
      <c r="T4">
        <v>30.41</v>
      </c>
      <c r="U4">
        <v>30.45</v>
      </c>
    </row>
    <row r="5" spans="1:27" x14ac:dyDescent="0.2">
      <c r="N5">
        <v>9224</v>
      </c>
      <c r="O5">
        <v>5.07</v>
      </c>
      <c r="P5">
        <v>31.26</v>
      </c>
      <c r="R5">
        <v>115694</v>
      </c>
      <c r="S5">
        <v>30.42</v>
      </c>
      <c r="T5">
        <v>30.56</v>
      </c>
      <c r="U5">
        <v>30.7</v>
      </c>
    </row>
    <row r="6" spans="1:27" x14ac:dyDescent="0.2">
      <c r="N6">
        <v>9244</v>
      </c>
      <c r="O6">
        <v>5.05</v>
      </c>
      <c r="P6">
        <v>31.18</v>
      </c>
      <c r="R6">
        <v>116044</v>
      </c>
      <c r="S6">
        <v>30.39</v>
      </c>
      <c r="T6">
        <v>30.49</v>
      </c>
      <c r="U6">
        <v>30.59</v>
      </c>
    </row>
    <row r="7" spans="1:27" x14ac:dyDescent="0.2">
      <c r="N7">
        <v>9254</v>
      </c>
      <c r="O7">
        <v>4.9400000000000004</v>
      </c>
      <c r="P7">
        <v>30.87</v>
      </c>
      <c r="R7">
        <v>116218</v>
      </c>
      <c r="S7">
        <v>30.17</v>
      </c>
      <c r="T7">
        <v>30.21</v>
      </c>
      <c r="U7">
        <v>30.25</v>
      </c>
    </row>
    <row r="8" spans="1:27" x14ac:dyDescent="0.2">
      <c r="N8">
        <v>9274</v>
      </c>
      <c r="O8">
        <v>5.13</v>
      </c>
      <c r="P8">
        <v>31.44</v>
      </c>
      <c r="R8">
        <v>116567</v>
      </c>
      <c r="S8">
        <v>30.53</v>
      </c>
      <c r="T8">
        <v>30.71</v>
      </c>
      <c r="U8">
        <v>30.89</v>
      </c>
    </row>
    <row r="9" spans="1:27" x14ac:dyDescent="0.2">
      <c r="N9">
        <v>9284</v>
      </c>
      <c r="O9">
        <v>5.13</v>
      </c>
      <c r="P9">
        <v>31.43</v>
      </c>
      <c r="R9">
        <v>116742</v>
      </c>
      <c r="S9">
        <v>30.53</v>
      </c>
      <c r="T9">
        <v>30.71</v>
      </c>
      <c r="U9">
        <v>30.89</v>
      </c>
    </row>
    <row r="10" spans="1:27" x14ac:dyDescent="0.2">
      <c r="N10">
        <v>9304</v>
      </c>
      <c r="O10">
        <v>4.83</v>
      </c>
      <c r="P10">
        <v>30.51</v>
      </c>
      <c r="R10">
        <v>117091</v>
      </c>
      <c r="S10">
        <v>29.85</v>
      </c>
      <c r="T10">
        <v>29.91</v>
      </c>
      <c r="U10">
        <v>29.97</v>
      </c>
    </row>
    <row r="11" spans="1:27" x14ac:dyDescent="0.2">
      <c r="N11">
        <v>9316</v>
      </c>
      <c r="O11">
        <v>5.2</v>
      </c>
      <c r="P11">
        <v>31.66</v>
      </c>
      <c r="R11">
        <v>117301</v>
      </c>
      <c r="S11">
        <v>30.64</v>
      </c>
      <c r="T11">
        <v>30.9</v>
      </c>
      <c r="U11">
        <v>31.16</v>
      </c>
    </row>
    <row r="12" spans="1:27" x14ac:dyDescent="0.2">
      <c r="N12">
        <v>9324</v>
      </c>
      <c r="O12">
        <v>5.07</v>
      </c>
      <c r="P12">
        <v>31.26</v>
      </c>
      <c r="R12">
        <v>117440</v>
      </c>
      <c r="S12">
        <v>30.42</v>
      </c>
      <c r="T12">
        <v>30.56</v>
      </c>
      <c r="U12">
        <v>30.7</v>
      </c>
    </row>
    <row r="13" spans="1:27" x14ac:dyDescent="0.2">
      <c r="N13">
        <v>9334</v>
      </c>
      <c r="O13">
        <v>5.2</v>
      </c>
      <c r="P13">
        <v>31.67</v>
      </c>
      <c r="R13">
        <v>117615</v>
      </c>
      <c r="S13">
        <v>30.64</v>
      </c>
      <c r="T13">
        <v>30.9</v>
      </c>
      <c r="U13">
        <v>31.16</v>
      </c>
    </row>
    <row r="14" spans="1:27" x14ac:dyDescent="0.2">
      <c r="N14">
        <v>9344</v>
      </c>
      <c r="O14">
        <v>5.52</v>
      </c>
      <c r="P14">
        <v>32.549999999999997</v>
      </c>
      <c r="R14">
        <v>117789</v>
      </c>
      <c r="S14">
        <v>31.17</v>
      </c>
      <c r="T14">
        <v>31.67</v>
      </c>
      <c r="U14">
        <v>32.17</v>
      </c>
    </row>
    <row r="15" spans="1:27" x14ac:dyDescent="0.2">
      <c r="N15">
        <v>9354</v>
      </c>
      <c r="O15">
        <v>5.14</v>
      </c>
      <c r="P15">
        <v>31.49</v>
      </c>
      <c r="R15">
        <v>117964</v>
      </c>
      <c r="S15">
        <v>30.55</v>
      </c>
      <c r="T15">
        <v>30.75</v>
      </c>
      <c r="U15">
        <v>30.95</v>
      </c>
    </row>
    <row r="16" spans="1:27" x14ac:dyDescent="0.2">
      <c r="N16">
        <v>9374</v>
      </c>
      <c r="O16">
        <v>5.28</v>
      </c>
      <c r="P16">
        <v>31.88</v>
      </c>
      <c r="R16">
        <v>118313</v>
      </c>
      <c r="S16">
        <v>30.79</v>
      </c>
      <c r="T16">
        <v>31.09</v>
      </c>
      <c r="U16">
        <v>31.39</v>
      </c>
    </row>
    <row r="17" spans="14:21" x14ac:dyDescent="0.2">
      <c r="N17">
        <v>9384</v>
      </c>
      <c r="O17">
        <v>5.35</v>
      </c>
      <c r="P17">
        <v>32.049999999999997</v>
      </c>
      <c r="R17">
        <v>118488</v>
      </c>
      <c r="S17">
        <v>30.9</v>
      </c>
      <c r="T17">
        <v>31.24</v>
      </c>
      <c r="U17">
        <v>31.58</v>
      </c>
    </row>
    <row r="18" spans="14:21" x14ac:dyDescent="0.2">
      <c r="N18">
        <v>9414</v>
      </c>
      <c r="O18">
        <v>5.15</v>
      </c>
      <c r="P18">
        <v>31.58</v>
      </c>
      <c r="R18">
        <v>119011</v>
      </c>
      <c r="S18">
        <v>30.52</v>
      </c>
      <c r="T18">
        <v>30.8</v>
      </c>
      <c r="U18">
        <v>31.08</v>
      </c>
    </row>
    <row r="19" spans="14:21" x14ac:dyDescent="0.2">
      <c r="N19">
        <v>9424</v>
      </c>
      <c r="O19">
        <v>5.03</v>
      </c>
      <c r="P19">
        <v>31.23</v>
      </c>
      <c r="R19">
        <v>119186</v>
      </c>
      <c r="S19">
        <v>30.29</v>
      </c>
      <c r="T19">
        <v>30.49</v>
      </c>
      <c r="U19">
        <v>30.69</v>
      </c>
    </row>
    <row r="20" spans="14:21" x14ac:dyDescent="0.2">
      <c r="N20">
        <v>9430</v>
      </c>
      <c r="O20">
        <v>5.46</v>
      </c>
      <c r="P20">
        <v>32.479999999999997</v>
      </c>
      <c r="R20">
        <v>119291</v>
      </c>
      <c r="S20">
        <v>31.04</v>
      </c>
      <c r="T20">
        <v>31.58</v>
      </c>
      <c r="U20">
        <v>32.119999999999997</v>
      </c>
    </row>
    <row r="21" spans="14:21" x14ac:dyDescent="0.2">
      <c r="N21">
        <v>9434</v>
      </c>
      <c r="O21">
        <v>5.53</v>
      </c>
      <c r="P21">
        <v>32.71</v>
      </c>
      <c r="R21">
        <v>119367</v>
      </c>
      <c r="S21">
        <v>31.14</v>
      </c>
      <c r="T21">
        <v>31.76</v>
      </c>
      <c r="U21">
        <v>32.380000000000003</v>
      </c>
    </row>
    <row r="22" spans="14:21" x14ac:dyDescent="0.2">
      <c r="N22">
        <v>9440</v>
      </c>
      <c r="O22">
        <v>5.35</v>
      </c>
      <c r="P22">
        <v>32.14</v>
      </c>
      <c r="R22">
        <v>119535</v>
      </c>
      <c r="S22">
        <v>30.85</v>
      </c>
      <c r="T22">
        <v>31.29</v>
      </c>
      <c r="U22">
        <v>31.73</v>
      </c>
    </row>
    <row r="23" spans="14:21" x14ac:dyDescent="0.2">
      <c r="N23">
        <v>9450</v>
      </c>
      <c r="O23">
        <v>5.29</v>
      </c>
      <c r="P23">
        <v>32.01</v>
      </c>
      <c r="R23">
        <v>119816</v>
      </c>
      <c r="S23">
        <v>30.75</v>
      </c>
      <c r="T23">
        <v>31.17</v>
      </c>
      <c r="U23">
        <v>31.59</v>
      </c>
    </row>
    <row r="24" spans="14:21" x14ac:dyDescent="0.2">
      <c r="N24">
        <v>9460</v>
      </c>
      <c r="O24">
        <v>5.44</v>
      </c>
      <c r="P24">
        <v>32.43</v>
      </c>
      <c r="R24">
        <v>120097</v>
      </c>
      <c r="S24">
        <v>30.99</v>
      </c>
      <c r="T24">
        <v>31.53</v>
      </c>
      <c r="U24">
        <v>32.07</v>
      </c>
    </row>
    <row r="25" spans="14:21" x14ac:dyDescent="0.2">
      <c r="N25">
        <v>9470</v>
      </c>
      <c r="O25">
        <v>5.5</v>
      </c>
      <c r="P25">
        <v>32.57</v>
      </c>
      <c r="R25">
        <v>120378</v>
      </c>
      <c r="S25">
        <v>31.1</v>
      </c>
      <c r="T25">
        <v>31.66</v>
      </c>
      <c r="U25">
        <v>32.22</v>
      </c>
    </row>
    <row r="26" spans="14:21" x14ac:dyDescent="0.2">
      <c r="N26">
        <v>9480</v>
      </c>
      <c r="O26">
        <v>5.67</v>
      </c>
      <c r="P26">
        <v>33.04</v>
      </c>
      <c r="R26">
        <v>120659</v>
      </c>
      <c r="S26">
        <v>31.38</v>
      </c>
      <c r="T26">
        <v>32.06</v>
      </c>
      <c r="U26">
        <v>32.739999999999988</v>
      </c>
    </row>
    <row r="27" spans="14:21" x14ac:dyDescent="0.2">
      <c r="N27">
        <v>9490</v>
      </c>
      <c r="O27">
        <v>5.67</v>
      </c>
      <c r="P27">
        <v>33.020000000000003</v>
      </c>
      <c r="R27">
        <v>120940</v>
      </c>
      <c r="S27">
        <v>31.4</v>
      </c>
      <c r="T27">
        <v>32.06</v>
      </c>
      <c r="U27">
        <v>32.719999999999992</v>
      </c>
    </row>
    <row r="28" spans="14:21" x14ac:dyDescent="0.2">
      <c r="N28">
        <v>9500</v>
      </c>
      <c r="O28">
        <v>5.27</v>
      </c>
      <c r="P28">
        <v>31.83</v>
      </c>
      <c r="R28">
        <v>121221</v>
      </c>
      <c r="S28">
        <v>30.77</v>
      </c>
      <c r="T28">
        <v>31.05</v>
      </c>
      <c r="U28">
        <v>31.33</v>
      </c>
    </row>
    <row r="29" spans="14:21" x14ac:dyDescent="0.2">
      <c r="N29">
        <v>9510</v>
      </c>
      <c r="O29">
        <v>5.49</v>
      </c>
      <c r="P29">
        <v>32.47</v>
      </c>
      <c r="R29">
        <v>121502</v>
      </c>
      <c r="S29">
        <v>31.12</v>
      </c>
      <c r="T29">
        <v>31.6</v>
      </c>
      <c r="U29">
        <v>32.08</v>
      </c>
    </row>
    <row r="30" spans="14:21" x14ac:dyDescent="0.2">
      <c r="N30">
        <v>9520</v>
      </c>
      <c r="O30">
        <v>5.49</v>
      </c>
      <c r="P30">
        <v>32.49</v>
      </c>
      <c r="R30">
        <v>121783</v>
      </c>
      <c r="S30">
        <v>31.13</v>
      </c>
      <c r="T30">
        <v>31.61</v>
      </c>
      <c r="U30">
        <v>32.090000000000003</v>
      </c>
    </row>
    <row r="31" spans="14:21" x14ac:dyDescent="0.2">
      <c r="N31">
        <v>9540</v>
      </c>
      <c r="O31">
        <v>5.36</v>
      </c>
      <c r="P31">
        <v>32.119999999999997</v>
      </c>
      <c r="R31">
        <v>122345</v>
      </c>
      <c r="S31">
        <v>30.92</v>
      </c>
      <c r="T31">
        <v>31.3</v>
      </c>
      <c r="U31">
        <v>31.68</v>
      </c>
    </row>
    <row r="32" spans="14:21" x14ac:dyDescent="0.2">
      <c r="N32">
        <v>9560</v>
      </c>
      <c r="O32">
        <v>5.54</v>
      </c>
      <c r="P32">
        <v>32.64</v>
      </c>
      <c r="R32">
        <v>122907</v>
      </c>
      <c r="S32">
        <v>31.19</v>
      </c>
      <c r="T32">
        <v>31.73</v>
      </c>
      <c r="U32">
        <v>32.270000000000003</v>
      </c>
    </row>
    <row r="33" spans="14:21" x14ac:dyDescent="0.2">
      <c r="N33">
        <v>9570</v>
      </c>
      <c r="O33">
        <v>5.5</v>
      </c>
      <c r="P33">
        <v>32.53</v>
      </c>
      <c r="R33">
        <v>123188</v>
      </c>
      <c r="S33">
        <v>31.14</v>
      </c>
      <c r="T33">
        <v>31.64</v>
      </c>
      <c r="U33">
        <v>32.14</v>
      </c>
    </row>
    <row r="34" spans="14:21" x14ac:dyDescent="0.2">
      <c r="N34">
        <v>9581</v>
      </c>
      <c r="O34">
        <v>5.53</v>
      </c>
      <c r="P34">
        <v>32.67</v>
      </c>
      <c r="R34">
        <v>123497</v>
      </c>
      <c r="S34">
        <v>31.14</v>
      </c>
      <c r="T34">
        <v>31.74</v>
      </c>
      <c r="U34">
        <v>32.340000000000003</v>
      </c>
    </row>
    <row r="35" spans="14:21" x14ac:dyDescent="0.2">
      <c r="N35">
        <v>9590</v>
      </c>
      <c r="O35">
        <v>5.46</v>
      </c>
      <c r="P35">
        <v>32.479999999999997</v>
      </c>
      <c r="R35">
        <v>123750</v>
      </c>
      <c r="S35">
        <v>31.04</v>
      </c>
      <c r="T35">
        <v>31.58</v>
      </c>
      <c r="U35">
        <v>32.119999999999997</v>
      </c>
    </row>
    <row r="36" spans="14:21" x14ac:dyDescent="0.2">
      <c r="N36">
        <v>9600</v>
      </c>
      <c r="O36">
        <v>5.46</v>
      </c>
      <c r="P36">
        <v>32.46</v>
      </c>
      <c r="R36">
        <v>124031</v>
      </c>
      <c r="S36">
        <v>31.07</v>
      </c>
      <c r="T36">
        <v>31.57</v>
      </c>
      <c r="U36">
        <v>32.069999999999993</v>
      </c>
    </row>
    <row r="37" spans="14:21" x14ac:dyDescent="0.2">
      <c r="N37">
        <v>9610</v>
      </c>
      <c r="O37">
        <v>5.66</v>
      </c>
      <c r="P37">
        <v>32.93</v>
      </c>
      <c r="R37">
        <v>124312</v>
      </c>
      <c r="S37">
        <v>31.42</v>
      </c>
      <c r="T37">
        <v>32</v>
      </c>
      <c r="U37">
        <v>32.58</v>
      </c>
    </row>
    <row r="38" spans="14:21" x14ac:dyDescent="0.2">
      <c r="N38">
        <v>9620</v>
      </c>
      <c r="O38">
        <v>5.57</v>
      </c>
      <c r="P38">
        <v>32.74</v>
      </c>
      <c r="R38">
        <v>124593</v>
      </c>
      <c r="S38">
        <v>31.26</v>
      </c>
      <c r="T38">
        <v>31.82</v>
      </c>
      <c r="U38">
        <v>32.380000000000003</v>
      </c>
    </row>
    <row r="39" spans="14:21" x14ac:dyDescent="0.2">
      <c r="N39">
        <v>9640</v>
      </c>
      <c r="O39">
        <v>5.71</v>
      </c>
      <c r="P39">
        <v>33.14</v>
      </c>
      <c r="R39">
        <v>125089</v>
      </c>
      <c r="S39">
        <v>31.45</v>
      </c>
      <c r="T39">
        <v>32.15</v>
      </c>
      <c r="U39">
        <v>32.85</v>
      </c>
    </row>
    <row r="40" spans="14:21" x14ac:dyDescent="0.2">
      <c r="N40">
        <v>9650</v>
      </c>
      <c r="O40">
        <v>5.69</v>
      </c>
      <c r="P40">
        <v>33.08</v>
      </c>
      <c r="R40">
        <v>125308</v>
      </c>
      <c r="S40">
        <v>31.42</v>
      </c>
      <c r="T40">
        <v>32.1</v>
      </c>
      <c r="U40">
        <v>32.78</v>
      </c>
    </row>
    <row r="41" spans="14:21" x14ac:dyDescent="0.2">
      <c r="N41">
        <v>9660</v>
      </c>
      <c r="O41">
        <v>5.8</v>
      </c>
      <c r="P41">
        <v>33.42</v>
      </c>
      <c r="R41">
        <v>125527</v>
      </c>
      <c r="S41">
        <v>31.579999999999991</v>
      </c>
      <c r="T41">
        <v>32.380000000000003</v>
      </c>
      <c r="U41">
        <v>33.179999999999993</v>
      </c>
    </row>
    <row r="42" spans="14:21" x14ac:dyDescent="0.2">
      <c r="N42">
        <v>9670</v>
      </c>
      <c r="O42">
        <v>5.41</v>
      </c>
      <c r="P42">
        <v>32.340000000000003</v>
      </c>
      <c r="R42">
        <v>125746</v>
      </c>
      <c r="S42">
        <v>30.96</v>
      </c>
      <c r="T42">
        <v>31.46</v>
      </c>
      <c r="U42">
        <v>31.96</v>
      </c>
    </row>
    <row r="43" spans="14:21" x14ac:dyDescent="0.2">
      <c r="N43">
        <v>9680</v>
      </c>
      <c r="O43">
        <v>5.61</v>
      </c>
      <c r="P43">
        <v>32.92</v>
      </c>
      <c r="R43">
        <v>125965</v>
      </c>
      <c r="S43">
        <v>31.27</v>
      </c>
      <c r="T43">
        <v>31.95</v>
      </c>
      <c r="U43">
        <v>32.630000000000003</v>
      </c>
    </row>
    <row r="44" spans="14:21" x14ac:dyDescent="0.2">
      <c r="N44">
        <v>9690</v>
      </c>
      <c r="O44">
        <v>5.75</v>
      </c>
      <c r="P44">
        <v>33.24</v>
      </c>
      <c r="R44">
        <v>126184</v>
      </c>
      <c r="S44">
        <v>31.53</v>
      </c>
      <c r="T44">
        <v>32.25</v>
      </c>
      <c r="U44">
        <v>32.97</v>
      </c>
    </row>
    <row r="45" spans="14:21" x14ac:dyDescent="0.2">
      <c r="N45">
        <v>9700</v>
      </c>
      <c r="O45">
        <v>5.58</v>
      </c>
      <c r="P45">
        <v>32.840000000000003</v>
      </c>
      <c r="R45">
        <v>126402</v>
      </c>
      <c r="S45">
        <v>31.22</v>
      </c>
      <c r="T45">
        <v>31.88</v>
      </c>
      <c r="U45">
        <v>32.54</v>
      </c>
    </row>
    <row r="46" spans="14:21" x14ac:dyDescent="0.2">
      <c r="N46">
        <v>9710</v>
      </c>
      <c r="O46">
        <v>5.74</v>
      </c>
      <c r="P46">
        <v>33.270000000000003</v>
      </c>
      <c r="R46">
        <v>126621</v>
      </c>
      <c r="S46">
        <v>31.47</v>
      </c>
      <c r="T46">
        <v>32.25</v>
      </c>
      <c r="U46">
        <v>33.03</v>
      </c>
    </row>
    <row r="47" spans="14:21" x14ac:dyDescent="0.2">
      <c r="N47">
        <v>9720</v>
      </c>
      <c r="O47">
        <v>5.72</v>
      </c>
      <c r="P47">
        <v>33.21</v>
      </c>
      <c r="R47">
        <v>126840</v>
      </c>
      <c r="S47">
        <v>31.46</v>
      </c>
      <c r="T47">
        <v>32.200000000000003</v>
      </c>
      <c r="U47">
        <v>32.94</v>
      </c>
    </row>
    <row r="48" spans="14:21" x14ac:dyDescent="0.2">
      <c r="N48">
        <v>9730</v>
      </c>
      <c r="O48">
        <v>5.48</v>
      </c>
      <c r="P48">
        <v>32.54</v>
      </c>
      <c r="R48">
        <v>127059</v>
      </c>
      <c r="S48">
        <v>31.07</v>
      </c>
      <c r="T48">
        <v>31.63</v>
      </c>
      <c r="U48">
        <v>32.19</v>
      </c>
    </row>
    <row r="49" spans="14:21" x14ac:dyDescent="0.2">
      <c r="N49">
        <v>9740</v>
      </c>
      <c r="O49">
        <v>5.29</v>
      </c>
      <c r="P49">
        <v>32</v>
      </c>
      <c r="R49">
        <v>127278</v>
      </c>
      <c r="S49">
        <v>30.77</v>
      </c>
      <c r="T49">
        <v>31.17</v>
      </c>
      <c r="U49">
        <v>31.57</v>
      </c>
    </row>
    <row r="50" spans="14:21" x14ac:dyDescent="0.2">
      <c r="N50">
        <v>9780</v>
      </c>
      <c r="O50">
        <v>5.24</v>
      </c>
      <c r="P50">
        <v>31.82</v>
      </c>
      <c r="R50">
        <v>128154</v>
      </c>
      <c r="S50">
        <v>30.7</v>
      </c>
      <c r="T50">
        <v>31.02</v>
      </c>
      <c r="U50">
        <v>31.34</v>
      </c>
    </row>
    <row r="51" spans="14:21" x14ac:dyDescent="0.2">
      <c r="N51">
        <v>9790</v>
      </c>
      <c r="O51">
        <v>5.14</v>
      </c>
      <c r="P51">
        <v>31.42</v>
      </c>
      <c r="R51">
        <v>128372</v>
      </c>
      <c r="S51">
        <v>30.55</v>
      </c>
      <c r="T51">
        <v>30.71</v>
      </c>
      <c r="U51">
        <v>30.87</v>
      </c>
    </row>
    <row r="52" spans="14:21" x14ac:dyDescent="0.2">
      <c r="N52">
        <v>9800</v>
      </c>
      <c r="O52">
        <v>4.88</v>
      </c>
      <c r="P52">
        <v>30.64</v>
      </c>
      <c r="R52">
        <v>128591</v>
      </c>
      <c r="S52">
        <v>29.99</v>
      </c>
      <c r="T52">
        <v>30.03</v>
      </c>
      <c r="U52">
        <v>30.07</v>
      </c>
    </row>
    <row r="53" spans="14:21" x14ac:dyDescent="0.2">
      <c r="N53">
        <v>9810</v>
      </c>
      <c r="O53">
        <v>4.95</v>
      </c>
      <c r="P53">
        <v>31</v>
      </c>
      <c r="R53">
        <v>128810</v>
      </c>
      <c r="S53">
        <v>30.12</v>
      </c>
      <c r="T53">
        <v>30.28</v>
      </c>
      <c r="U53">
        <v>30.44</v>
      </c>
    </row>
    <row r="54" spans="14:21" x14ac:dyDescent="0.2">
      <c r="N54">
        <v>9820</v>
      </c>
      <c r="O54">
        <v>5.1100000000000003</v>
      </c>
      <c r="P54">
        <v>31.56</v>
      </c>
      <c r="R54">
        <v>129029</v>
      </c>
      <c r="S54">
        <v>30.39</v>
      </c>
      <c r="T54">
        <v>30.75</v>
      </c>
      <c r="U54">
        <v>31.11</v>
      </c>
    </row>
    <row r="55" spans="14:21" x14ac:dyDescent="0.2">
      <c r="N55">
        <v>9830</v>
      </c>
      <c r="O55">
        <v>4.95</v>
      </c>
      <c r="P55">
        <v>31.11</v>
      </c>
      <c r="R55">
        <v>129248</v>
      </c>
      <c r="S55">
        <v>30.11</v>
      </c>
      <c r="T55">
        <v>30.35</v>
      </c>
      <c r="U55">
        <v>30.59</v>
      </c>
    </row>
    <row r="56" spans="14:21" x14ac:dyDescent="0.2">
      <c r="N56">
        <v>9850</v>
      </c>
      <c r="O56">
        <v>4.51</v>
      </c>
      <c r="P56">
        <v>29.73</v>
      </c>
      <c r="R56">
        <v>129686</v>
      </c>
      <c r="S56">
        <v>29.04</v>
      </c>
      <c r="T56">
        <v>29.14</v>
      </c>
      <c r="U56">
        <v>29.24</v>
      </c>
    </row>
    <row r="57" spans="14:21" x14ac:dyDescent="0.2">
      <c r="N57">
        <v>9860</v>
      </c>
      <c r="O57">
        <v>5.0199999999999996</v>
      </c>
      <c r="P57">
        <v>31.37</v>
      </c>
      <c r="R57">
        <v>129905</v>
      </c>
      <c r="S57">
        <v>30.19</v>
      </c>
      <c r="T57">
        <v>30.55</v>
      </c>
      <c r="U57">
        <v>30.91</v>
      </c>
    </row>
    <row r="58" spans="14:21" x14ac:dyDescent="0.2">
      <c r="N58">
        <v>9870</v>
      </c>
      <c r="O58">
        <v>4.75</v>
      </c>
      <c r="P58">
        <v>30.56</v>
      </c>
      <c r="R58">
        <v>130124</v>
      </c>
      <c r="S58">
        <v>29.66</v>
      </c>
      <c r="T58">
        <v>29.84</v>
      </c>
      <c r="U58">
        <v>30.02</v>
      </c>
    </row>
    <row r="59" spans="14:21" x14ac:dyDescent="0.2">
      <c r="N59">
        <v>9890</v>
      </c>
      <c r="O59">
        <v>4.59</v>
      </c>
      <c r="P59">
        <v>30.06</v>
      </c>
      <c r="R59">
        <v>130561</v>
      </c>
      <c r="S59">
        <v>29.36</v>
      </c>
      <c r="T59">
        <v>29.4</v>
      </c>
      <c r="U59">
        <v>29.44</v>
      </c>
    </row>
    <row r="60" spans="14:21" x14ac:dyDescent="0.2">
      <c r="N60">
        <v>9900</v>
      </c>
      <c r="O60">
        <v>4.57</v>
      </c>
      <c r="P60">
        <v>29.99</v>
      </c>
      <c r="R60">
        <v>130780</v>
      </c>
      <c r="S60">
        <v>29.32</v>
      </c>
      <c r="T60">
        <v>29.34</v>
      </c>
      <c r="U60">
        <v>29.36</v>
      </c>
    </row>
    <row r="61" spans="14:21" x14ac:dyDescent="0.2">
      <c r="N61">
        <v>9910</v>
      </c>
      <c r="O61">
        <v>4.59</v>
      </c>
      <c r="P61">
        <v>30.11</v>
      </c>
      <c r="R61">
        <v>130999</v>
      </c>
      <c r="S61">
        <v>29.32</v>
      </c>
      <c r="T61">
        <v>29.42</v>
      </c>
      <c r="U61">
        <v>29.52</v>
      </c>
    </row>
    <row r="62" spans="14:21" x14ac:dyDescent="0.2">
      <c r="N62">
        <v>9920</v>
      </c>
      <c r="O62">
        <v>4.24</v>
      </c>
      <c r="P62">
        <v>28.96</v>
      </c>
      <c r="R62">
        <v>131218</v>
      </c>
      <c r="S62">
        <v>28.23</v>
      </c>
      <c r="T62">
        <v>28.41</v>
      </c>
      <c r="U62">
        <v>28.59</v>
      </c>
    </row>
    <row r="63" spans="14:21" x14ac:dyDescent="0.2">
      <c r="N63">
        <v>9950</v>
      </c>
      <c r="O63">
        <v>4.1500000000000004</v>
      </c>
      <c r="P63">
        <v>28.73</v>
      </c>
      <c r="R63">
        <v>131875</v>
      </c>
      <c r="S63">
        <v>28</v>
      </c>
      <c r="T63">
        <v>28.18</v>
      </c>
      <c r="U63">
        <v>28.36</v>
      </c>
    </row>
    <row r="64" spans="14:21" x14ac:dyDescent="0.2">
      <c r="N64">
        <v>9980</v>
      </c>
      <c r="O64">
        <v>4.18</v>
      </c>
      <c r="P64">
        <v>28.87</v>
      </c>
      <c r="R64">
        <v>132429</v>
      </c>
      <c r="S64">
        <v>28.17</v>
      </c>
      <c r="T64">
        <v>28.29</v>
      </c>
      <c r="U64">
        <v>28.41</v>
      </c>
    </row>
    <row r="65" spans="14:21" x14ac:dyDescent="0.2">
      <c r="N65">
        <v>9987</v>
      </c>
      <c r="O65">
        <v>4.1100000000000003</v>
      </c>
      <c r="P65">
        <v>28.6</v>
      </c>
      <c r="R65">
        <v>132514</v>
      </c>
      <c r="S65">
        <v>27.88</v>
      </c>
      <c r="T65">
        <v>28.06</v>
      </c>
      <c r="U65">
        <v>28.24</v>
      </c>
    </row>
    <row r="66" spans="14:21" x14ac:dyDescent="0.2">
      <c r="N66">
        <v>10000</v>
      </c>
      <c r="O66">
        <v>4.1500000000000004</v>
      </c>
      <c r="P66">
        <v>28.72</v>
      </c>
      <c r="R66">
        <v>132672</v>
      </c>
      <c r="S66">
        <v>27.99</v>
      </c>
      <c r="T66">
        <v>28.17</v>
      </c>
      <c r="U66">
        <v>28.35</v>
      </c>
    </row>
    <row r="67" spans="14:21" x14ac:dyDescent="0.2">
      <c r="N67">
        <v>10010</v>
      </c>
      <c r="O67">
        <v>4.0199999999999996</v>
      </c>
      <c r="P67">
        <v>28.25</v>
      </c>
      <c r="R67">
        <v>132793</v>
      </c>
      <c r="S67">
        <v>27.48</v>
      </c>
      <c r="T67">
        <v>27.76</v>
      </c>
      <c r="U67">
        <v>28.04</v>
      </c>
    </row>
    <row r="68" spans="14:21" x14ac:dyDescent="0.2">
      <c r="N68">
        <v>10020</v>
      </c>
      <c r="O68">
        <v>4</v>
      </c>
      <c r="P68">
        <v>28.22</v>
      </c>
      <c r="R68">
        <v>132914</v>
      </c>
      <c r="S68">
        <v>27.44</v>
      </c>
      <c r="T68">
        <v>27.72</v>
      </c>
      <c r="U68">
        <v>28</v>
      </c>
    </row>
    <row r="69" spans="14:21" x14ac:dyDescent="0.2">
      <c r="N69">
        <v>10030</v>
      </c>
      <c r="O69">
        <v>3.69</v>
      </c>
      <c r="P69">
        <v>26.92</v>
      </c>
      <c r="R69">
        <v>133036</v>
      </c>
      <c r="S69">
        <v>25.95</v>
      </c>
      <c r="T69">
        <v>26.61</v>
      </c>
      <c r="U69">
        <v>27.27</v>
      </c>
    </row>
    <row r="70" spans="14:21" x14ac:dyDescent="0.2">
      <c r="N70">
        <v>10040</v>
      </c>
      <c r="O70">
        <v>3.88</v>
      </c>
      <c r="P70">
        <v>27.71</v>
      </c>
      <c r="R70">
        <v>133157</v>
      </c>
      <c r="S70">
        <v>26.86</v>
      </c>
      <c r="T70">
        <v>27.3</v>
      </c>
      <c r="U70">
        <v>27.74</v>
      </c>
    </row>
    <row r="71" spans="14:21" x14ac:dyDescent="0.2">
      <c r="N71">
        <v>10050</v>
      </c>
      <c r="O71">
        <v>3.96</v>
      </c>
      <c r="P71">
        <v>28</v>
      </c>
      <c r="R71">
        <v>133278</v>
      </c>
      <c r="S71">
        <v>27.18</v>
      </c>
      <c r="T71">
        <v>27.56</v>
      </c>
      <c r="U71">
        <v>27.94</v>
      </c>
    </row>
    <row r="72" spans="14:21" x14ac:dyDescent="0.2">
      <c r="N72">
        <v>10060</v>
      </c>
      <c r="O72">
        <v>3.89</v>
      </c>
      <c r="P72">
        <v>27.67</v>
      </c>
      <c r="R72">
        <v>133399</v>
      </c>
      <c r="S72">
        <v>26.78</v>
      </c>
      <c r="T72">
        <v>27.28</v>
      </c>
      <c r="U72">
        <v>27.78</v>
      </c>
    </row>
    <row r="73" spans="14:21" x14ac:dyDescent="0.2">
      <c r="N73">
        <v>10070</v>
      </c>
      <c r="O73">
        <v>3.84</v>
      </c>
      <c r="P73">
        <v>27.46</v>
      </c>
      <c r="R73">
        <v>133521</v>
      </c>
      <c r="S73">
        <v>26.54</v>
      </c>
      <c r="T73">
        <v>27.1</v>
      </c>
      <c r="U73">
        <v>27.66</v>
      </c>
    </row>
    <row r="74" spans="14:21" x14ac:dyDescent="0.2">
      <c r="N74">
        <v>10080</v>
      </c>
      <c r="O74">
        <v>3.75</v>
      </c>
      <c r="P74">
        <v>27.18</v>
      </c>
      <c r="R74">
        <v>133642</v>
      </c>
      <c r="S74">
        <v>26.25</v>
      </c>
      <c r="T74">
        <v>26.85</v>
      </c>
      <c r="U74">
        <v>27.45</v>
      </c>
    </row>
    <row r="75" spans="14:21" x14ac:dyDescent="0.2">
      <c r="N75">
        <v>10090</v>
      </c>
      <c r="O75">
        <v>3.73</v>
      </c>
      <c r="P75">
        <v>27.02</v>
      </c>
      <c r="R75">
        <v>133763</v>
      </c>
      <c r="S75">
        <v>26.05</v>
      </c>
      <c r="T75">
        <v>26.73</v>
      </c>
      <c r="U75">
        <v>27.41</v>
      </c>
    </row>
    <row r="76" spans="14:21" x14ac:dyDescent="0.2">
      <c r="N76">
        <v>10100</v>
      </c>
      <c r="O76">
        <v>3.99</v>
      </c>
      <c r="P76">
        <v>28.14</v>
      </c>
      <c r="R76">
        <v>133884</v>
      </c>
      <c r="S76">
        <v>27.36</v>
      </c>
      <c r="T76">
        <v>27.66</v>
      </c>
      <c r="U76">
        <v>27.96</v>
      </c>
    </row>
    <row r="77" spans="14:21" x14ac:dyDescent="0.2">
      <c r="N77">
        <v>10110</v>
      </c>
      <c r="O77">
        <v>3.87</v>
      </c>
      <c r="P77">
        <v>27.67</v>
      </c>
      <c r="R77">
        <v>134006</v>
      </c>
      <c r="S77">
        <v>26.81</v>
      </c>
      <c r="T77">
        <v>27.25</v>
      </c>
      <c r="U77">
        <v>27.69</v>
      </c>
    </row>
    <row r="78" spans="14:21" x14ac:dyDescent="0.2">
      <c r="N78">
        <v>10120</v>
      </c>
      <c r="O78">
        <v>3.77</v>
      </c>
      <c r="P78">
        <v>27.3</v>
      </c>
      <c r="R78">
        <v>134127</v>
      </c>
      <c r="S78">
        <v>26.39</v>
      </c>
      <c r="T78">
        <v>26.93</v>
      </c>
      <c r="U78">
        <v>27.47</v>
      </c>
    </row>
    <row r="79" spans="14:21" x14ac:dyDescent="0.2">
      <c r="N79">
        <v>10130</v>
      </c>
      <c r="O79">
        <v>3.81</v>
      </c>
      <c r="P79">
        <v>27.48</v>
      </c>
      <c r="R79">
        <v>134248</v>
      </c>
      <c r="S79">
        <v>26.61</v>
      </c>
      <c r="T79">
        <v>27.07</v>
      </c>
      <c r="U79">
        <v>27.53</v>
      </c>
    </row>
    <row r="80" spans="14:21" x14ac:dyDescent="0.2">
      <c r="N80">
        <v>10140</v>
      </c>
      <c r="O80">
        <v>3.68</v>
      </c>
      <c r="P80">
        <v>27</v>
      </c>
      <c r="R80">
        <v>134370</v>
      </c>
      <c r="S80">
        <v>26.09</v>
      </c>
      <c r="T80">
        <v>26.65</v>
      </c>
      <c r="U80">
        <v>27.21</v>
      </c>
    </row>
    <row r="81" spans="14:21" x14ac:dyDescent="0.2">
      <c r="N81">
        <v>10150</v>
      </c>
      <c r="O81">
        <v>3.62</v>
      </c>
      <c r="P81">
        <v>26.7</v>
      </c>
      <c r="R81">
        <v>134491</v>
      </c>
      <c r="S81">
        <v>25.74</v>
      </c>
      <c r="T81">
        <v>26.4</v>
      </c>
      <c r="U81">
        <v>27.06</v>
      </c>
    </row>
    <row r="82" spans="14:21" x14ac:dyDescent="0.2">
      <c r="N82">
        <v>10160</v>
      </c>
      <c r="O82">
        <v>3.99</v>
      </c>
      <c r="P82">
        <v>28.24</v>
      </c>
      <c r="R82">
        <v>134612</v>
      </c>
      <c r="S82">
        <v>27.51</v>
      </c>
      <c r="T82">
        <v>27.71</v>
      </c>
      <c r="U82">
        <v>27.91</v>
      </c>
    </row>
    <row r="83" spans="14:21" x14ac:dyDescent="0.2">
      <c r="N83">
        <v>10170</v>
      </c>
      <c r="O83">
        <v>4.0999999999999996</v>
      </c>
      <c r="P83">
        <v>28.67</v>
      </c>
      <c r="R83">
        <v>134733</v>
      </c>
      <c r="S83">
        <v>28</v>
      </c>
      <c r="T83">
        <v>28.08</v>
      </c>
      <c r="U83">
        <v>28.16</v>
      </c>
    </row>
    <row r="84" spans="14:21" x14ac:dyDescent="0.2">
      <c r="N84">
        <v>10180</v>
      </c>
      <c r="O84">
        <v>4.0599999999999996</v>
      </c>
      <c r="P84">
        <v>28.51</v>
      </c>
      <c r="R84">
        <v>134855</v>
      </c>
      <c r="S84">
        <v>27.82</v>
      </c>
      <c r="T84">
        <v>27.94</v>
      </c>
      <c r="U84">
        <v>28.06</v>
      </c>
    </row>
    <row r="85" spans="14:21" x14ac:dyDescent="0.2">
      <c r="N85">
        <v>10190</v>
      </c>
      <c r="O85">
        <v>3.85</v>
      </c>
      <c r="P85">
        <v>27.72</v>
      </c>
      <c r="R85">
        <v>134976</v>
      </c>
      <c r="S85">
        <v>26.91</v>
      </c>
      <c r="T85">
        <v>27.25</v>
      </c>
      <c r="U85">
        <v>27.59</v>
      </c>
    </row>
    <row r="86" spans="14:21" x14ac:dyDescent="0.2">
      <c r="N86">
        <v>10200</v>
      </c>
      <c r="O86">
        <v>4.1100000000000003</v>
      </c>
      <c r="P86">
        <v>28.75</v>
      </c>
      <c r="R86">
        <v>135097</v>
      </c>
      <c r="S86">
        <v>28.1</v>
      </c>
      <c r="T86">
        <v>28.14</v>
      </c>
      <c r="U86">
        <v>28.18</v>
      </c>
    </row>
    <row r="87" spans="14:21" x14ac:dyDescent="0.2">
      <c r="N87">
        <v>10210</v>
      </c>
      <c r="O87">
        <v>3.71</v>
      </c>
      <c r="P87">
        <v>27.16</v>
      </c>
      <c r="R87">
        <v>135218</v>
      </c>
      <c r="S87">
        <v>26.27</v>
      </c>
      <c r="T87">
        <v>26.77</v>
      </c>
      <c r="U87">
        <v>27.27</v>
      </c>
    </row>
    <row r="88" spans="14:21" x14ac:dyDescent="0.2">
      <c r="N88">
        <v>10220</v>
      </c>
      <c r="O88">
        <v>3.56</v>
      </c>
      <c r="P88">
        <v>26.55</v>
      </c>
      <c r="R88">
        <v>135340</v>
      </c>
      <c r="S88">
        <v>25.58</v>
      </c>
      <c r="T88">
        <v>26.24</v>
      </c>
      <c r="U88">
        <v>26.9</v>
      </c>
    </row>
    <row r="89" spans="14:21" x14ac:dyDescent="0.2">
      <c r="N89">
        <v>10230</v>
      </c>
      <c r="O89">
        <v>4.01</v>
      </c>
      <c r="P89">
        <v>28.38</v>
      </c>
      <c r="R89">
        <v>135461</v>
      </c>
      <c r="S89">
        <v>27.67</v>
      </c>
      <c r="T89">
        <v>27.81</v>
      </c>
      <c r="U89">
        <v>27.95</v>
      </c>
    </row>
    <row r="90" spans="14:21" x14ac:dyDescent="0.2">
      <c r="N90">
        <v>10239</v>
      </c>
      <c r="O90">
        <v>3.75</v>
      </c>
      <c r="P90">
        <v>27.33</v>
      </c>
      <c r="R90">
        <v>135570</v>
      </c>
      <c r="S90">
        <v>26.48</v>
      </c>
      <c r="T90">
        <v>26.92</v>
      </c>
      <c r="U90">
        <v>27.36</v>
      </c>
    </row>
    <row r="91" spans="14:21" x14ac:dyDescent="0.2">
      <c r="N91">
        <v>10240</v>
      </c>
      <c r="O91">
        <v>3.73</v>
      </c>
      <c r="P91">
        <v>27.31</v>
      </c>
      <c r="R91">
        <v>135582</v>
      </c>
      <c r="S91">
        <v>26.48</v>
      </c>
      <c r="T91">
        <v>26.88</v>
      </c>
      <c r="U91">
        <v>27.28</v>
      </c>
    </row>
    <row r="92" spans="14:21" x14ac:dyDescent="0.2">
      <c r="N92">
        <v>10249</v>
      </c>
      <c r="O92">
        <v>3.6</v>
      </c>
      <c r="P92">
        <v>26.73</v>
      </c>
      <c r="R92">
        <v>135691</v>
      </c>
      <c r="S92">
        <v>25.81</v>
      </c>
      <c r="T92">
        <v>26.39</v>
      </c>
      <c r="U92">
        <v>26.97</v>
      </c>
    </row>
    <row r="93" spans="14:21" x14ac:dyDescent="0.2">
      <c r="N93">
        <v>10269</v>
      </c>
      <c r="O93">
        <v>3.51</v>
      </c>
      <c r="P93">
        <v>26.34</v>
      </c>
      <c r="R93">
        <v>135934</v>
      </c>
      <c r="S93">
        <v>25.35</v>
      </c>
      <c r="T93">
        <v>26.05</v>
      </c>
      <c r="U93">
        <v>26.75</v>
      </c>
    </row>
    <row r="94" spans="14:21" x14ac:dyDescent="0.2">
      <c r="N94">
        <v>10279</v>
      </c>
      <c r="O94">
        <v>3.79</v>
      </c>
      <c r="P94">
        <v>27.5</v>
      </c>
      <c r="R94">
        <v>136055</v>
      </c>
      <c r="S94">
        <v>26.67</v>
      </c>
      <c r="T94">
        <v>27.05</v>
      </c>
      <c r="U94">
        <v>27.43</v>
      </c>
    </row>
    <row r="95" spans="14:21" x14ac:dyDescent="0.2">
      <c r="N95">
        <v>10289</v>
      </c>
      <c r="O95">
        <v>3.55</v>
      </c>
      <c r="P95">
        <v>26.5</v>
      </c>
      <c r="R95">
        <v>136177</v>
      </c>
      <c r="S95">
        <v>25.54</v>
      </c>
      <c r="T95">
        <v>26.18</v>
      </c>
      <c r="U95">
        <v>26.82</v>
      </c>
    </row>
    <row r="96" spans="14:21" x14ac:dyDescent="0.2">
      <c r="N96">
        <v>10299</v>
      </c>
      <c r="O96">
        <v>3.79</v>
      </c>
      <c r="P96">
        <v>27.56</v>
      </c>
      <c r="R96">
        <v>136298</v>
      </c>
      <c r="S96">
        <v>26.77</v>
      </c>
      <c r="T96">
        <v>27.09</v>
      </c>
      <c r="U96">
        <v>27.41</v>
      </c>
    </row>
    <row r="97" spans="14:21" x14ac:dyDescent="0.2">
      <c r="N97">
        <v>10309</v>
      </c>
      <c r="O97">
        <v>3.72</v>
      </c>
      <c r="P97">
        <v>27.25</v>
      </c>
      <c r="R97">
        <v>136419</v>
      </c>
      <c r="S97">
        <v>26.4</v>
      </c>
      <c r="T97">
        <v>26.82</v>
      </c>
      <c r="U97">
        <v>27.24</v>
      </c>
    </row>
    <row r="98" spans="14:21" x14ac:dyDescent="0.2">
      <c r="N98">
        <v>10319</v>
      </c>
      <c r="O98">
        <v>3.78</v>
      </c>
      <c r="P98">
        <v>27.57</v>
      </c>
      <c r="R98">
        <v>136540</v>
      </c>
      <c r="S98">
        <v>26.78</v>
      </c>
      <c r="T98">
        <v>27.08</v>
      </c>
      <c r="U98">
        <v>27.38</v>
      </c>
    </row>
    <row r="99" spans="14:21" x14ac:dyDescent="0.2">
      <c r="N99">
        <v>10329</v>
      </c>
      <c r="O99">
        <v>3.77</v>
      </c>
      <c r="P99">
        <v>27.52</v>
      </c>
      <c r="R99">
        <v>136662</v>
      </c>
      <c r="S99">
        <v>26.73</v>
      </c>
      <c r="T99">
        <v>27.05</v>
      </c>
      <c r="U99">
        <v>27.37</v>
      </c>
    </row>
    <row r="100" spans="14:21" x14ac:dyDescent="0.2">
      <c r="N100">
        <v>10339</v>
      </c>
      <c r="O100">
        <v>3.83</v>
      </c>
      <c r="P100">
        <v>27.75</v>
      </c>
      <c r="R100">
        <v>136783</v>
      </c>
      <c r="S100">
        <v>27</v>
      </c>
      <c r="T100">
        <v>27.24</v>
      </c>
      <c r="U100">
        <v>27.48</v>
      </c>
    </row>
    <row r="101" spans="14:21" x14ac:dyDescent="0.2">
      <c r="N101">
        <v>10349</v>
      </c>
      <c r="O101">
        <v>3.78</v>
      </c>
      <c r="P101">
        <v>27.57</v>
      </c>
      <c r="R101">
        <v>136904</v>
      </c>
      <c r="S101">
        <v>26.78</v>
      </c>
      <c r="T101">
        <v>27.08</v>
      </c>
      <c r="U101">
        <v>27.38</v>
      </c>
    </row>
    <row r="102" spans="14:21" x14ac:dyDescent="0.2">
      <c r="N102">
        <v>10361</v>
      </c>
      <c r="O102">
        <v>4.01</v>
      </c>
      <c r="P102">
        <v>28.45</v>
      </c>
      <c r="R102">
        <v>137050</v>
      </c>
      <c r="S102">
        <v>27.78</v>
      </c>
      <c r="T102">
        <v>27.84</v>
      </c>
      <c r="U102">
        <v>27.9</v>
      </c>
    </row>
    <row r="103" spans="14:21" x14ac:dyDescent="0.2">
      <c r="N103">
        <v>10371</v>
      </c>
      <c r="O103">
        <v>3.77</v>
      </c>
      <c r="P103">
        <v>27.52</v>
      </c>
      <c r="R103">
        <v>137171</v>
      </c>
      <c r="S103">
        <v>26.72</v>
      </c>
      <c r="T103">
        <v>27.04</v>
      </c>
      <c r="U103">
        <v>27.36</v>
      </c>
    </row>
    <row r="104" spans="14:21" x14ac:dyDescent="0.2">
      <c r="N104">
        <v>10391</v>
      </c>
      <c r="O104">
        <v>3.84</v>
      </c>
      <c r="P104">
        <v>27.79</v>
      </c>
      <c r="R104">
        <v>137413</v>
      </c>
      <c r="S104">
        <v>27.02</v>
      </c>
      <c r="T104">
        <v>27.28</v>
      </c>
      <c r="U104">
        <v>27.54</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A10"/>
  <sheetViews>
    <sheetView topLeftCell="N1" workbookViewId="0">
      <selection activeCell="Y11" sqref="Y11"/>
    </sheetView>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332</v>
      </c>
      <c r="B2">
        <v>120.435</v>
      </c>
      <c r="C2">
        <v>-15.05533</v>
      </c>
      <c r="D2" t="s">
        <v>28</v>
      </c>
      <c r="O2">
        <v>0.99041000000000001</v>
      </c>
      <c r="P2">
        <v>25.6788509</v>
      </c>
      <c r="R2">
        <v>116648</v>
      </c>
      <c r="S2">
        <v>24.7333995354672</v>
      </c>
      <c r="T2">
        <v>30.0583861</v>
      </c>
      <c r="U2">
        <v>37.83633478988996</v>
      </c>
      <c r="V2" t="s">
        <v>174</v>
      </c>
      <c r="W2" t="s">
        <v>333</v>
      </c>
      <c r="X2" t="s">
        <v>334</v>
      </c>
      <c r="Y2" t="s">
        <v>335</v>
      </c>
      <c r="Z2">
        <v>-1466</v>
      </c>
    </row>
    <row r="3" spans="1:27" x14ac:dyDescent="0.2">
      <c r="O3">
        <v>0.99222999999999995</v>
      </c>
      <c r="P3">
        <v>25.6915741</v>
      </c>
      <c r="R3">
        <v>122382</v>
      </c>
      <c r="S3">
        <v>24.73363970433461</v>
      </c>
      <c r="T3">
        <v>30.128933400000001</v>
      </c>
      <c r="U3">
        <v>37.918703720384222</v>
      </c>
    </row>
    <row r="4" spans="1:27" x14ac:dyDescent="0.2">
      <c r="O4">
        <v>0.98277800000000004</v>
      </c>
      <c r="P4">
        <v>25.4144474</v>
      </c>
      <c r="R4">
        <v>126504</v>
      </c>
      <c r="S4">
        <v>24.493007414329139</v>
      </c>
      <c r="T4">
        <v>29.682756699999999</v>
      </c>
      <c r="U4">
        <v>37.395290349461973</v>
      </c>
    </row>
    <row r="5" spans="1:27" x14ac:dyDescent="0.2">
      <c r="O5">
        <v>0.98747200000000002</v>
      </c>
      <c r="P5">
        <v>25.546377</v>
      </c>
      <c r="R5">
        <v>128119</v>
      </c>
      <c r="S5">
        <v>24.60325510355645</v>
      </c>
      <c r="T5">
        <v>29.915121599999999</v>
      </c>
      <c r="U5">
        <v>37.73257968255821</v>
      </c>
    </row>
    <row r="6" spans="1:27" x14ac:dyDescent="0.2">
      <c r="O6">
        <v>0.97833599999999998</v>
      </c>
      <c r="P6">
        <v>25.209866600000002</v>
      </c>
      <c r="R6">
        <v>130038</v>
      </c>
      <c r="S6">
        <v>24.300929873360079</v>
      </c>
      <c r="T6">
        <v>29.420258100000002</v>
      </c>
      <c r="U6">
        <v>37.211019726846622</v>
      </c>
    </row>
    <row r="7" spans="1:27" x14ac:dyDescent="0.2">
      <c r="O7">
        <v>0.96372999999999998</v>
      </c>
      <c r="P7">
        <v>24.782977299999999</v>
      </c>
      <c r="R7">
        <v>133572</v>
      </c>
      <c r="S7">
        <v>23.920371484345551</v>
      </c>
      <c r="T7">
        <v>28.778753999999999</v>
      </c>
      <c r="U7">
        <v>36.326174511885228</v>
      </c>
    </row>
    <row r="8" spans="1:27" x14ac:dyDescent="0.2">
      <c r="O8">
        <v>0.95905600000000002</v>
      </c>
      <c r="P8">
        <v>24.565687199999999</v>
      </c>
      <c r="R8">
        <v>134220</v>
      </c>
      <c r="S8">
        <v>23.706870477719011</v>
      </c>
      <c r="T8">
        <v>28.543911999999999</v>
      </c>
      <c r="U8">
        <v>36.032498540215208</v>
      </c>
    </row>
    <row r="9" spans="1:27" x14ac:dyDescent="0.2">
      <c r="O9">
        <v>0.949237</v>
      </c>
      <c r="P9">
        <v>24.242868900000001</v>
      </c>
      <c r="R9">
        <v>137695</v>
      </c>
      <c r="S9">
        <v>23.419233889938599</v>
      </c>
      <c r="T9">
        <v>28.058124400000001</v>
      </c>
      <c r="U9">
        <v>35.380448675031921</v>
      </c>
    </row>
    <row r="10" spans="1:27" x14ac:dyDescent="0.2">
      <c r="O10">
        <v>0.937253</v>
      </c>
      <c r="P10">
        <v>23.8010056</v>
      </c>
      <c r="R10">
        <v>137988</v>
      </c>
      <c r="S10">
        <v>23.004986442124139</v>
      </c>
      <c r="T10">
        <v>27.488338500000001</v>
      </c>
      <c r="U10">
        <v>34.608797494467751</v>
      </c>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A10"/>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332</v>
      </c>
      <c r="B2">
        <v>120.435</v>
      </c>
      <c r="C2">
        <v>-15.05533</v>
      </c>
      <c r="D2" t="s">
        <v>179</v>
      </c>
      <c r="O2">
        <v>0.71415099999999998</v>
      </c>
      <c r="P2">
        <v>25.6788509</v>
      </c>
      <c r="R2">
        <v>116648</v>
      </c>
      <c r="S2">
        <v>21.966876694023949</v>
      </c>
      <c r="T2">
        <v>30.222259999999999</v>
      </c>
      <c r="U2">
        <v>40.397626283664657</v>
      </c>
      <c r="V2" t="s">
        <v>174</v>
      </c>
      <c r="W2" t="s">
        <v>333</v>
      </c>
      <c r="X2" t="s">
        <v>334</v>
      </c>
      <c r="Y2" t="s">
        <v>336</v>
      </c>
      <c r="Z2">
        <v>-1466</v>
      </c>
    </row>
    <row r="3" spans="1:27" x14ac:dyDescent="0.2">
      <c r="O3">
        <v>0.75087199999999998</v>
      </c>
      <c r="P3">
        <v>25.6915741</v>
      </c>
      <c r="R3">
        <v>122382</v>
      </c>
      <c r="S3">
        <v>24.574343387439971</v>
      </c>
      <c r="T3">
        <v>32.62462</v>
      </c>
      <c r="U3">
        <v>43.567485827709888</v>
      </c>
    </row>
    <row r="4" spans="1:27" x14ac:dyDescent="0.2">
      <c r="O4">
        <v>0.75234000000000001</v>
      </c>
      <c r="P4">
        <v>25.4144474</v>
      </c>
      <c r="R4">
        <v>126504</v>
      </c>
      <c r="S4">
        <v>24.12474443431211</v>
      </c>
      <c r="T4">
        <v>32.538800000000002</v>
      </c>
      <c r="U4">
        <v>43.855828390783643</v>
      </c>
    </row>
    <row r="5" spans="1:27" x14ac:dyDescent="0.2">
      <c r="O5">
        <v>0.73293399999999997</v>
      </c>
      <c r="P5">
        <v>25.546377</v>
      </c>
      <c r="R5">
        <v>128119</v>
      </c>
      <c r="S5">
        <v>23.37644815186334</v>
      </c>
      <c r="T5">
        <v>31.48685</v>
      </c>
      <c r="U5">
        <v>41.882339087482521</v>
      </c>
    </row>
    <row r="6" spans="1:27" x14ac:dyDescent="0.2">
      <c r="O6">
        <v>0.69910099999999997</v>
      </c>
      <c r="P6">
        <v>25.209866600000002</v>
      </c>
      <c r="R6">
        <v>130038</v>
      </c>
      <c r="S6">
        <v>20.950879617605931</v>
      </c>
      <c r="T6">
        <v>29.502669999999998</v>
      </c>
      <c r="U6">
        <v>39.817449013921816</v>
      </c>
    </row>
    <row r="7" spans="1:27" x14ac:dyDescent="0.2">
      <c r="O7">
        <v>0.64970700000000003</v>
      </c>
      <c r="P7">
        <v>24.782977299999999</v>
      </c>
      <c r="R7">
        <v>133572</v>
      </c>
      <c r="S7">
        <v>18.82204821022555</v>
      </c>
      <c r="T7">
        <v>26.139489999999999</v>
      </c>
      <c r="U7">
        <v>36.246025351693113</v>
      </c>
    </row>
    <row r="8" spans="1:27" x14ac:dyDescent="0.2">
      <c r="O8">
        <v>0.658609</v>
      </c>
      <c r="P8">
        <v>24.565687199999999</v>
      </c>
      <c r="R8">
        <v>134220</v>
      </c>
      <c r="S8">
        <v>18.52278278314791</v>
      </c>
      <c r="T8">
        <v>27.045999999999999</v>
      </c>
      <c r="U8">
        <v>36.581789409690558</v>
      </c>
    </row>
    <row r="9" spans="1:27" x14ac:dyDescent="0.2">
      <c r="O9">
        <v>0.62302400000000002</v>
      </c>
      <c r="P9">
        <v>24.242868900000001</v>
      </c>
      <c r="R9">
        <v>137695</v>
      </c>
      <c r="S9">
        <v>16.629668477111071</v>
      </c>
      <c r="T9">
        <v>24.502220000000001</v>
      </c>
      <c r="U9">
        <v>33.73897603380145</v>
      </c>
    </row>
    <row r="10" spans="1:27" x14ac:dyDescent="0.2">
      <c r="O10">
        <v>0.62279300000000004</v>
      </c>
      <c r="P10">
        <v>23.8010056</v>
      </c>
      <c r="R10">
        <v>137988</v>
      </c>
      <c r="S10">
        <v>16.879287134172291</v>
      </c>
      <c r="T10">
        <v>24.729430000000001</v>
      </c>
      <c r="U10">
        <v>33.460501797677672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68</vt:i4>
      </vt:variant>
    </vt:vector>
  </HeadingPairs>
  <TitlesOfParts>
    <vt:vector size="68" baseType="lpstr">
      <vt:lpstr>SUMMARY</vt:lpstr>
      <vt:lpstr>TEMPLATE</vt:lpstr>
      <vt:lpstr>ODP1148_TEX86</vt:lpstr>
      <vt:lpstr>ODP1148_UK37</vt:lpstr>
      <vt:lpstr>IODP-U1446</vt:lpstr>
      <vt:lpstr>KNR191-CDH19</vt:lpstr>
      <vt:lpstr>ODP1016C</vt:lpstr>
      <vt:lpstr>ODP1014A</vt:lpstr>
      <vt:lpstr>ODP999A</vt:lpstr>
      <vt:lpstr>U939</vt:lpstr>
      <vt:lpstr>SO136-111</vt:lpstr>
      <vt:lpstr>MD02-2575</vt:lpstr>
      <vt:lpstr>RC10-62</vt:lpstr>
      <vt:lpstr>RC13-110</vt:lpstr>
      <vt:lpstr>RC13-115</vt:lpstr>
      <vt:lpstr>V19-29</vt:lpstr>
      <vt:lpstr>VNTR1-8</vt:lpstr>
      <vt:lpstr>Y69-106P</vt:lpstr>
      <vt:lpstr>Y69-71P</vt:lpstr>
      <vt:lpstr>Y71-3-2</vt:lpstr>
      <vt:lpstr>Y71-9-101</vt:lpstr>
      <vt:lpstr>Y71-6-12</vt:lpstr>
      <vt:lpstr>ODP1239</vt:lpstr>
      <vt:lpstr>NH22P</vt:lpstr>
      <vt:lpstr>TR163-19</vt:lpstr>
      <vt:lpstr>SK157-4</vt:lpstr>
      <vt:lpstr>ODP 1094</vt:lpstr>
      <vt:lpstr>KX97322-4</vt:lpstr>
      <vt:lpstr>ODP 806B</vt:lpstr>
      <vt:lpstr>RC09-166</vt:lpstr>
      <vt:lpstr>MD85668</vt:lpstr>
      <vt:lpstr>MD90963</vt:lpstr>
      <vt:lpstr>MD85674</vt:lpstr>
      <vt:lpstr>TY93-929-P</vt:lpstr>
      <vt:lpstr>MD98-2152</vt:lpstr>
      <vt:lpstr>ODP 982</vt:lpstr>
      <vt:lpstr>Q200</vt:lpstr>
      <vt:lpstr>R657</vt:lpstr>
      <vt:lpstr>U938</vt:lpstr>
      <vt:lpstr>MD99-2331_UK37</vt:lpstr>
      <vt:lpstr>MD99-2331_Foram</vt:lpstr>
      <vt:lpstr>ODP 1172A</vt:lpstr>
      <vt:lpstr>ODP 1170A</vt:lpstr>
      <vt:lpstr>ODP 1168A</vt:lpstr>
      <vt:lpstr>MD01-2412</vt:lpstr>
      <vt:lpstr>ODP 1125</vt:lpstr>
      <vt:lpstr>ODP 847</vt:lpstr>
      <vt:lpstr>GeoB10083</vt:lpstr>
      <vt:lpstr>GeoB10163</vt:lpstr>
      <vt:lpstr>GeoB10285</vt:lpstr>
      <vt:lpstr>PS1778-5</vt:lpstr>
      <vt:lpstr>ODP 1144</vt:lpstr>
      <vt:lpstr>RS147-GC14</vt:lpstr>
      <vt:lpstr>E45-29</vt:lpstr>
      <vt:lpstr>E49-17</vt:lpstr>
      <vt:lpstr>E49-18</vt:lpstr>
      <vt:lpstr>E49-21</vt:lpstr>
      <vt:lpstr>RC12-225</vt:lpstr>
      <vt:lpstr>DSDP 593</vt:lpstr>
      <vt:lpstr>ODP 882</vt:lpstr>
      <vt:lpstr>VM19-193</vt:lpstr>
      <vt:lpstr>ODP 871</vt:lpstr>
      <vt:lpstr>MD97-2140</vt:lpstr>
      <vt:lpstr>TSP-2PC</vt:lpstr>
      <vt:lpstr>ODP 967</vt:lpstr>
      <vt:lpstr>IODP U1485</vt:lpstr>
      <vt:lpstr>IODP_U1482_UK37</vt:lpstr>
      <vt:lpstr>IODP_U1482_TEX86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Hoffman</dc:creator>
  <cp:lastModifiedBy>Anna Chen</cp:lastModifiedBy>
  <cp:lastPrinted>2016-08-02T02:10:43Z</cp:lastPrinted>
  <dcterms:created xsi:type="dcterms:W3CDTF">2016-07-29T21:52:57Z</dcterms:created>
  <dcterms:modified xsi:type="dcterms:W3CDTF">2026-07-24T15:48:21Z</dcterms:modified>
</cp:coreProperties>
</file>