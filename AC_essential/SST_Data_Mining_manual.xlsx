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03"/>
  <workbookPr showInkAnnotation="0" autoCompressPictures="0"/>
  <mc:AlternateContent xmlns:mc="http://schemas.openxmlformats.org/markup-compatibility/2006">
    <mc:Choice Requires="x15">
      <x15ac:absPath xmlns:x15ac="http://schemas.microsoft.com/office/spreadsheetml/2010/11/ac" url="/Users/annachen04/Documents/Columbia/HISEAS/SST-RSOI-Git/AC_essential/"/>
    </mc:Choice>
  </mc:AlternateContent>
  <xr:revisionPtr revIDLastSave="0" documentId="13_ncr:1_{5824008E-C74D-5F48-A758-413F1EC9ABAD}" xr6:coauthVersionLast="47" xr6:coauthVersionMax="47" xr10:uidLastSave="{00000000-0000-0000-0000-000000000000}"/>
  <bookViews>
    <workbookView xWindow="0" yWindow="580" windowWidth="25600" windowHeight="16060" firstSheet="6" activeTab="7" xr2:uid="{913738AC-7A4C-6D4C-81D8-75DE16F59CB7}"/>
  </bookViews>
  <sheets>
    <sheet name="TEMPLATE" sheetId="100" r:id="rId1"/>
    <sheet name="ODP1148_TEX86" sheetId="120" r:id="rId2"/>
    <sheet name="ODP1148_UK37" sheetId="119" r:id="rId3"/>
    <sheet name="IODP-U1446" sheetId="121" r:id="rId4"/>
    <sheet name="KNR191_CDH19" sheetId="122" r:id="rId5"/>
    <sheet name="ODP1016C" sheetId="124" r:id="rId6"/>
    <sheet name="ODP1014A" sheetId="123" r:id="rId7"/>
    <sheet name="ODP999A" sheetId="126" r:id="rId8"/>
    <sheet name="U939" sheetId="127" r:id="rId9"/>
    <sheet name="SO136-111" sheetId="128" r:id="rId10"/>
    <sheet name="MD02-2575" sheetId="129" r:id="rId11"/>
    <sheet name="RC10-62" sheetId="138" r:id="rId12"/>
    <sheet name="RC13-110" sheetId="137" r:id="rId13"/>
    <sheet name="RC13-115" sheetId="136" r:id="rId14"/>
    <sheet name="V19-29" sheetId="135" r:id="rId15"/>
    <sheet name="VNTR1-8" sheetId="134" r:id="rId16"/>
    <sheet name="Y69-106P" sheetId="133" r:id="rId17"/>
    <sheet name="Y69-71P" sheetId="132" r:id="rId18"/>
    <sheet name="Y71-3-2" sheetId="131" r:id="rId19"/>
    <sheet name="Y71-9-101" sheetId="139" r:id="rId20"/>
    <sheet name="Y71-6-12" sheetId="130" r:id="rId21"/>
    <sheet name="ODP1239" sheetId="140" r:id="rId22"/>
    <sheet name="NH22P" sheetId="141" r:id="rId23"/>
    <sheet name="TR163-19" sheetId="142" r:id="rId24"/>
    <sheet name="SK157-4" sheetId="143" r:id="rId25"/>
    <sheet name="Sample" sheetId="3" r:id="rId26"/>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S15" i="142" l="1"/>
  <c r="S3" i="142"/>
  <c r="S4" i="142"/>
  <c r="S5" i="142"/>
  <c r="S6" i="142"/>
  <c r="S7" i="142"/>
  <c r="S8" i="142"/>
  <c r="S9" i="142"/>
  <c r="S10" i="142"/>
  <c r="S11" i="142"/>
  <c r="S12" i="142"/>
  <c r="S13" i="142"/>
  <c r="S14" i="142"/>
  <c r="U3" i="142"/>
  <c r="U4" i="142"/>
  <c r="U5" i="142"/>
  <c r="U6" i="142"/>
  <c r="U7" i="142"/>
  <c r="U8" i="142"/>
  <c r="U9" i="142"/>
  <c r="U10" i="142"/>
  <c r="U11" i="142"/>
  <c r="U12" i="142"/>
  <c r="U13" i="142"/>
  <c r="U14" i="142"/>
  <c r="U15" i="142"/>
  <c r="U2" i="142"/>
  <c r="S2" i="1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Anna Chen</author>
  </authors>
  <commentList>
    <comment ref="M1" authorId="0" shapeId="0" xr:uid="{9A93F69D-51C8-D44B-8857-38BCBD2CD0A2}">
      <text>
        <r>
          <rPr>
            <b/>
            <sz val="10"/>
            <color rgb="FF000000"/>
            <rFont val="Tahoma"/>
            <family val="2"/>
          </rPr>
          <t>Anna Chen:</t>
        </r>
        <r>
          <rPr>
            <sz val="10"/>
            <color rgb="FF000000"/>
            <rFont val="Tahoma"/>
            <family val="2"/>
          </rPr>
          <t xml:space="preserve">
</t>
        </r>
        <r>
          <rPr>
            <sz val="10"/>
            <color rgb="FF000000"/>
            <rFont val="Tahoma"/>
            <family val="2"/>
          </rPr>
          <t>Thiis is delta O18 PDB from Globigerinoides ruber (white)</t>
        </r>
      </text>
    </comment>
  </commentList>
</comments>
</file>

<file path=xl/sharedStrings.xml><?xml version="1.0" encoding="utf-8"?>
<sst xmlns="http://schemas.openxmlformats.org/spreadsheetml/2006/main" count="818" uniqueCount="125">
  <si>
    <t>Depth (cm)</t>
  </si>
  <si>
    <t>Hadley Bias Correction</t>
  </si>
  <si>
    <t>Hadley uncertainty</t>
  </si>
  <si>
    <t>TF Uncertainty</t>
  </si>
  <si>
    <t>SS Uncertainty</t>
  </si>
  <si>
    <t>Longitude</t>
  </si>
  <si>
    <t>Tie Point Depth (cm)</t>
  </si>
  <si>
    <t>Tie Point Age (yr)</t>
  </si>
  <si>
    <t>Tie Point Uncertainty (yr)</t>
  </si>
  <si>
    <t>Age (yr)</t>
  </si>
  <si>
    <t>Benthic d18O Depth (cm)</t>
  </si>
  <si>
    <t>UK37</t>
  </si>
  <si>
    <t>ID</t>
  </si>
  <si>
    <t>Latitude</t>
  </si>
  <si>
    <t>Proxy</t>
  </si>
  <si>
    <t>SST (ºC)</t>
  </si>
  <si>
    <t>Biascorr</t>
  </si>
  <si>
    <t>SST -2sd</t>
  </si>
  <si>
    <t>SST mean</t>
  </si>
  <si>
    <t>SST +2sd</t>
  </si>
  <si>
    <t>MgCa</t>
  </si>
  <si>
    <t>Note: these data are absent in most sheets</t>
  </si>
  <si>
    <t>Note: because we have 1 sheet per proxy, these data are inferred from the same proxy.</t>
  </si>
  <si>
    <t>Proxy Value</t>
  </si>
  <si>
    <t>Benthic d18O (per mil)</t>
  </si>
  <si>
    <t>ODP1148</t>
  </si>
  <si>
    <t xml:space="preserve">0.924 </t>
  </si>
  <si>
    <t xml:space="preserve">26.7 </t>
  </si>
  <si>
    <t xml:space="preserve">18.8 </t>
  </si>
  <si>
    <t xml:space="preserve">0.970 </t>
  </si>
  <si>
    <t xml:space="preserve">28.1 </t>
  </si>
  <si>
    <t xml:space="preserve">21.2 </t>
  </si>
  <si>
    <t xml:space="preserve">0.955 </t>
  </si>
  <si>
    <t xml:space="preserve">27.6 </t>
  </si>
  <si>
    <t xml:space="preserve">20.2 </t>
  </si>
  <si>
    <t xml:space="preserve">0.874 </t>
  </si>
  <si>
    <t xml:space="preserve">25.2 </t>
  </si>
  <si>
    <t xml:space="preserve">18.4 </t>
  </si>
  <si>
    <t xml:space="preserve">0.824 </t>
  </si>
  <si>
    <t xml:space="preserve">23.6 </t>
  </si>
  <si>
    <t xml:space="preserve">17.4 </t>
  </si>
  <si>
    <t xml:space="preserve">0.842 </t>
  </si>
  <si>
    <t xml:space="preserve">24.2 </t>
  </si>
  <si>
    <t>Data Link</t>
  </si>
  <si>
    <t>https://www.ncei.noaa.gov/pub/data/paleo/contributions_by_author/li2017/li2017.txt</t>
  </si>
  <si>
    <t>Publication</t>
  </si>
  <si>
    <t>Li, D., M. Zhao, and J. Tian. 2017. Low-high latitude interaction forcing on the evolution of the 400 kyr cycle in East Asian winter monsoon records during the last 2.8 Myr. Quaternary Science Reviews, 172, 72-82. doi: 10.1016/j.quascirev.2017.08.005</t>
  </si>
  <si>
    <t>TEX86</t>
  </si>
  <si>
    <t>Method</t>
  </si>
  <si>
    <t>UK37 calculated after Prahl and Wakeham (1987), UK37 SST reconstruction calculated after Mueller et al.(1998)</t>
  </si>
  <si>
    <t>Chronology Info</t>
  </si>
  <si>
    <t>IODP-U1446</t>
  </si>
  <si>
    <t>Clemens, Steven; Yamamoto, Masanobu; Thirumalai, Kaustubh; Giosan, Liviu; Richey, Julie N.; Nilsson-Kerr, Katrina; Rosenthal, Yair; Anand, Pallavi; McGrath, Sarah M. 2021. Remote and Local Drivers of Pleistocene South Asian Summer Monsoon Precipitation: A Test for Future Predictions. Science Advances, 7(23), eabg3848. doi: 10.1126/sciadv.abg3848</t>
  </si>
  <si>
    <t>https://www.ncei.noaa.gov/pub/data/paleo/contributions_by_author/clemens2021/clemens2021-u1446-mgca-noaa.txt</t>
  </si>
  <si>
    <t>Analytical facility: Kerr (Open Univ.)</t>
  </si>
  <si>
    <t>Elevation (m)</t>
  </si>
  <si>
    <t>Age model was generated by correlating XRF Ca counts in CDH19 to carbonate measurements made in core MD95-2036.</t>
  </si>
  <si>
    <t>KNR191_CDH19</t>
  </si>
  <si>
    <t>https://www.ncei.noaa.gov/pub/data/paleo/contributions_by_author/henry2016/henry2016sst.txt</t>
  </si>
  <si>
    <t>L.G. Henry, J.F. McManus, W.B. Curry, N.L. Roberts, A.M. Piotrowski, L.D. Keigwin. 2016. North Atlantic ocean circulation and abrupt climate change during the last glaciation. Science, 353(6298), 470-474. doi: 10.1126/science.aaf5529</t>
  </si>
  <si>
    <t>ODP1014A</t>
  </si>
  <si>
    <t>uk37 proxy value reports Alkenone saturation index.  #   Alkenones and alkenoates were analyzed following the method of Yamamoto et al. (2000). UK'37 was calculated from the concentrations of di- and tri-unsaturated C37 alken-2-ones [C37MK] using the method of Prahl et al., (1988).</t>
  </si>
  <si>
    <t>https://www.ncei.noaa.gov/pub/data/paleo/paleocean/sediment_files/complete/odp1014a-tab.txt</t>
  </si>
  <si>
    <t>Yamamoto, M., M. Yamamuro, and Y. Tanaka. 2007. The California current system during the last 136,000 years: response of the North Pacific High to precessional forcing. Quaternary Science Reviews, 26(3-4), 405-414. doi: 10.1016/j.quascirev.2006.07.014</t>
  </si>
  <si>
    <t>https://www.ncei.noaa.gov/pub/data/paleo/paleocean/sediment_files/complete/odp1016c-tab.txt</t>
  </si>
  <si>
    <t>ODP1016C</t>
  </si>
  <si>
    <t>ODP999A</t>
  </si>
  <si>
    <t>Schmidt, M.W., H.J. Spero, and D.W. Lea. 2004. Links between salinity variation in the Caribbean and North Atlantic thermohaline circulation. Nature, 428, 160-163. doi: 10.1038/nature02346</t>
  </si>
  <si>
    <t>https://www.ncei.noaa.gov/pub/data/paleo/paleocean/sediment_files/complete/odp999a-tab.txt</t>
  </si>
  <si>
    <t>d18Ocalcite are measurements on the planktic foraminifera Globigerinoides ruber, which are used to reconstruct d18O seawater. d18Ocalcite and d18Osw are reported as extra columns to avoid confusion with Hoffman et al.'s convensions</t>
  </si>
  <si>
    <t>U939</t>
  </si>
  <si>
    <t>https://www.ncei.noaa.gov/pub/data/paleo/paleocean/sediment_files/complete/u939-tab.txt</t>
  </si>
  <si>
    <t xml:space="preserve">uk37 proxy values are Alkenone saturation index. Subsurface Uk37 SST calculated using Prahl and Wakeham [1998] (Uk'37 = 0.034T+0.039). One sigma =1.0°C Antarctic CRC/CSIRO Oceanography. </t>
  </si>
  <si>
    <t>Sikes, E.L., W.R. Howard, H.L. Neil, and J.K. Volkman. 2002. Glacial-interglacial sea surface temperature changes across the subtropical front east of New Zealand based on alkenone unsaturation ratios and foraminiferal assemblages. Paleoceanography, 17(2), 1012. doi: 10.1029/2001PA000640</t>
  </si>
  <si>
    <t>Diatom</t>
  </si>
  <si>
    <t>https://www.ncei.noaa.gov/pub/data/paleo/contributions_by_author/crosta2004/crosta2004.txt</t>
  </si>
  <si>
    <t>Crosta, X., A. Sturm, L. Armand, and J.-J. Pichon. 2004. Late Quaternary sea ice history in the Indian sector of the Southern Ocean as recorded by diatom assemblages. Marine Micropaleontology, 50, 209-223. doi: 10.1016/S0377-8398(03)00072-0</t>
  </si>
  <si>
    <t>SO136-111</t>
  </si>
  <si>
    <t xml:space="preserve">NOTE: SST is February reconstruction.
A Modern Analog Technique (MAT5201/31) has been applied to fossil diatom assemblages to provide down-core estimates of February sea-surface temperatures (SSTs) </t>
  </si>
  <si>
    <t>Nürnberg, D., M. Ziegler, C. Karas, R. Tiedemann, and M. Schmidt. 2008. Interacting Loop Current variability and Mississippi River discharge over the past 400 kyr. Earth and Planetary Science Letters, 272(1-2), 278-289. doi: 10.1016/j.epsl.2008.04.051</t>
  </si>
  <si>
    <t>https://www.ncei.noaa.gov/pub/data/paleo/paleocean/sediment_files/complete/md2-2575-tab.txt</t>
  </si>
  <si>
    <t>MD02-2575</t>
  </si>
  <si>
    <t>The data link provides "delta d18O PDB" time series from two species: Globigerinoides ruber (white) and Uvigerina peregrina. However, because G. ruber is used to provide the Mg/Ca ratio which is used to infer SST, the d18O column in this spreadsheet uses the delta d18O PDB data from G. ruber. The U. peregrina time series is still available through the data link.</t>
  </si>
  <si>
    <t>RC10-62</t>
  </si>
  <si>
    <t>Radiolaria</t>
  </si>
  <si>
    <t>RC13-110</t>
  </si>
  <si>
    <t>Pisias, N.G., and A.C. Mix. 1997. Spatial and temporal oceanographic variability of the eastern equatorial Pacific during the late Pleistocene: Evidence from Radiolaria microfossils. Paleoceanography, 12(3), 381-393. doi: 10.1029/97PA00583</t>
  </si>
  <si>
    <t>https://www.ncei.noaa.gov/pub/data/paleo/contributions_by_author/pisias1997b/rc10-62_sst.ager</t>
  </si>
  <si>
    <t>https://www.ncei.noaa.gov/pub/data/paleo/contributions_by_author/pisias1997b/rc13-110_sst.ager</t>
  </si>
  <si>
    <t>https://www.ncei.noaa.gov/pub/data/paleo/contributions_by_author/pisias1997b/rc13-115_sst.ager</t>
  </si>
  <si>
    <t>RC13-115</t>
  </si>
  <si>
    <t>V19-29</t>
  </si>
  <si>
    <t>https://www.ncei.noaa.gov/pub/data/paleo/contributions_by_author/pisias1997b/v19-29_sst.ager</t>
  </si>
  <si>
    <t>VNTR1-8</t>
  </si>
  <si>
    <t>https://www.ncei.noaa.gov/pub/data/paleo/contributions_by_author/pisias1997b/vntr1-8_sst.ager</t>
  </si>
  <si>
    <t>Y69-106P</t>
  </si>
  <si>
    <t>https://www.ncei.noaa.gov/pub/data/paleo/contributions_by_author/pisias1997b/y69-106p_sst.ager</t>
  </si>
  <si>
    <t>Y69-71P</t>
  </si>
  <si>
    <t>https://www.ncei.noaa.gov/pub/data/paleo/contributions_by_author/pisias1997b/y69-71p_sst.ager</t>
  </si>
  <si>
    <t>https://www.ncei.noaa.gov/pub/data/paleo/contributions_by_author/pisias1997b/y71-3-2_sst.ager</t>
  </si>
  <si>
    <t>Y71-3-2</t>
  </si>
  <si>
    <t>https://www.ncei.noaa.gov/pub/data/paleo/contributions_by_author/pisias1997b/y71-6-12_sst.ager</t>
  </si>
  <si>
    <t>Y71-6-12</t>
  </si>
  <si>
    <t>Y71-9-101</t>
  </si>
  <si>
    <t>https://www.ncei.noaa.gov/pub/data/paleo/contributions_by_author/pisias1997b/y71-9-101_sst.ager</t>
  </si>
  <si>
    <t>ODP1239</t>
  </si>
  <si>
    <t>derived from alignment of benthic d18O with global LR04 stack</t>
  </si>
  <si>
    <t>https://www.ncei.noaa.gov/pub/data/paleo/contributions_by_author/dyez2016/dyez2016-sst-merge.txt</t>
  </si>
  <si>
    <t>Dyez, K.A., A.C. Ravelo, and A.C. Mix. 2016. Evaluating drivers of Pleistocene eastern tropical Pacific sea surface temperature. Paleoceanography, 31. doi: 10.1002/2015PA002873</t>
  </si>
  <si>
    <t>Stack is a synthesis of multiple studies.
SST derived from Uk'37 using Müller et al., 1998 calibration SST = (Uk'37 - 0.044) / 0.033
d18O: average of Uvigerina and Cibicidoides d18O, after Cibicidoides value was corrected for species offset</t>
  </si>
  <si>
    <t>NH22P</t>
  </si>
  <si>
    <t>https://www.ncei.noaa.gov/pub/data/paleo/reconstructions/kumar2022/nh22p_kumar2022.txt</t>
  </si>
  <si>
    <t>Meegan Kumar, Dervla; Tierney, Jessica E.; Bhattacharya, Tripti; Zhu, Jiang; Murray, James W. 2022. Glacial warming in the Eastern Pacific Warm Pool. Geophysical Research Letters, 49(10), e2022GL098830. doi: 10.1029/2022GL098830</t>
  </si>
  <si>
    <t>Chronology more recent than ~54000 ka calibrated to Marine20 curve. Before ~54 ka, calibrated according to correlation to Lisiecki et al. 2005</t>
  </si>
  <si>
    <t>Uk37: gas chromatography - flame ionization detection</t>
  </si>
  <si>
    <t>TR163-19</t>
  </si>
  <si>
    <t>Cocos Ridge, Eastern tropical Pacific, foraminiferal Mg/Ca and SST reconstruction.
Mg/Ca data on cleaned G. ruber shells by ICP-MS, 417 individual data points 
from Lea et al. 2000, and 76 new data points from 39 depth intervals, 
total data points 493, total depth intervals 208. 
SST estimates based on depth/basin-corrected calibration in Dekens et al., 2002: 
SST(deg C) = LN((Mg/Ca-m)/0.38)/0.09+0.61*2.348+1.6
Data precision: Mg/Ca, ±2.1%; SST (est.), ±0.6°C</t>
  </si>
  <si>
    <t xml:space="preserve">Conversion of core depth to age is based on the 
timescale for core V19-30 in Shackleton (2000). 
Benthic O18 from TR163-19 was tied to V19-30 O18. 
A calibrated radiocarbon age was used for the core-top only. </t>
  </si>
  <si>
    <t>https://www.ncei.noaa.gov/pub/data/paleo/contributions_by_author/lea2004/lea2004.txt</t>
  </si>
  <si>
    <t>Lea, D.W. 2004. The 100,000 year cycle in tropical SST, greenhouse forcing, and climate sensitivity. Journal of Climate, 17(11), 2170-2179. doi: 10.1175/1520-0442(2004)017&lt;2170:TYCITS&gt;2.0.CO;2</t>
  </si>
  <si>
    <t>SK157-4</t>
  </si>
  <si>
    <t>Saraswat, R., R. Nigam, S. Weldeab, A. Mackensen, and P.D. Naidu. 2005. A first look at past sea surface temperatures in the equatorial Indian Ocean from Mg/Ca in foraminifera. Geophysical Research Letters, 32(24), L24605. doi: 10.1029/2005GL024093</t>
  </si>
  <si>
    <t>https://www.ncei.noaa.gov/pub/data/paleo/paleocean/sediment_files/complete/sk157_4-tab.txt</t>
  </si>
  <si>
    <t>The Mg/Ca ratio was converted to SST using the depth corrected G. ruber Mg/Ca-SST calibration of Dekens et al. [2002]: (Mg/Ca = 0.38 exp 0.09 [SST - 0.61 (core depth km)]).</t>
  </si>
  <si>
    <t>Radiocarbon years B.P. (Libby half-life; B.P. = 1950)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</si>
</sst>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2"/>
      <color theme="1"/>
      <name val="Helvetica"/>
      <family val="2"/>
    </font>
    <font>
      <sz val="10"/>
      <name val="Arial"/>
      <family val="2"/>
    </font>
    <font>
      <u/>
      <sz val="12"/>
      <color theme="10"/>
      <name val="Helvetica"/>
      <family val="2"/>
    </font>
    <font>
      <u/>
      <sz val="12"/>
      <color theme="11"/>
      <name val="Helvetica"/>
      <family val="2"/>
    </font>
    <font>
      <sz val="10"/>
      <name val="Verdana"/>
      <family val="2"/>
    </font>
    <font>
      <sz val="12"/>
      <color theme="1"/>
      <name val="Calibri"/>
      <family val="2"/>
      <scheme val="minor"/>
    </font>
    <font>
      <sz val="8"/>
      <name val="Helvetica"/>
      <family val="2"/>
    </font>
    <font>
      <b/>
      <sz val="12"/>
      <color theme="1"/>
      <name val="Helvetica"/>
      <family val="2"/>
    </font>
    <font>
      <b/>
      <sz val="12"/>
      <color theme="1"/>
      <name val="Calibri"/>
      <family val="2"/>
      <scheme val="minor"/>
    </font>
    <font>
      <b/>
      <sz val="11"/>
      <color theme="1"/>
      <name val="Calibri"/>
      <family val="2"/>
    </font>
    <font>
      <sz val="11"/>
      <color theme="1"/>
      <name val="Calibri"/>
      <family val="2"/>
    </font>
    <font>
      <sz val="10"/>
      <color rgb="FF000000"/>
      <name val="Arial Unicode MS"/>
      <family val="2"/>
    </font>
    <font>
      <sz val="10"/>
      <name val="Geneva"/>
      <family val="2"/>
    </font>
    <font>
      <sz val="10"/>
      <color rgb="FF000000"/>
      <name val="Tahoma"/>
      <family val="2"/>
    </font>
    <font>
      <b/>
      <sz val="10"/>
      <color rgb="FF000000"/>
      <name val="Tahoma"/>
      <family val="2"/>
    </font>
    <font>
      <sz val="12"/>
      <color rgb="FF000000"/>
      <name val="Aptos Narrow"/>
      <family val="2"/>
    </font>
  </fonts>
  <fills count="3">
    <fill>
      <patternFill patternType="none"/>
    </fill>
    <fill>
      <patternFill patternType="gray125"/>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497">
    <xf numFmtId="0" fontId="0" fillId="0" borderId="0"/>
    <xf numFmtId="0" fontId="1"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4"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5"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29">
    <xf numFmtId="0" fontId="0" fillId="0" borderId="0" xfId="0"/>
    <xf numFmtId="2" fontId="0" fillId="0" borderId="0" xfId="0" applyNumberFormat="1"/>
    <xf numFmtId="0" fontId="8" fillId="0" borderId="0" xfId="0" applyFont="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49" fontId="8" fillId="0" borderId="1" xfId="0" applyNumberFormat="1" applyFont="1" applyBorder="1" applyAlignment="1">
      <alignment horizontal="center" vertical="center" wrapText="1"/>
    </xf>
    <xf numFmtId="49" fontId="0" fillId="0" borderId="0" xfId="0" applyNumberFormat="1"/>
    <xf numFmtId="49" fontId="7" fillId="0" borderId="1" xfId="0" applyNumberFormat="1" applyFont="1" applyBorder="1" applyAlignment="1">
      <alignment horizontal="center" vertical="center" wrapText="1"/>
    </xf>
    <xf numFmtId="49" fontId="8" fillId="0" borderId="0" xfId="0" applyNumberFormat="1" applyFont="1" applyAlignment="1">
      <alignment horizontal="center" vertical="center" wrapText="1"/>
    </xf>
    <xf numFmtId="49" fontId="9" fillId="0" borderId="0" xfId="0" applyNumberFormat="1" applyFont="1"/>
    <xf numFmtId="49" fontId="10" fillId="0" borderId="0" xfId="0" applyNumberFormat="1" applyFont="1"/>
    <xf numFmtId="49" fontId="1" fillId="0" borderId="0" xfId="1" applyNumberFormat="1"/>
    <xf numFmtId="0" fontId="10" fillId="0" borderId="0" xfId="0" applyFont="1"/>
    <xf numFmtId="49" fontId="2" fillId="0" borderId="0" xfId="1496" applyNumberFormat="1"/>
    <xf numFmtId="49" fontId="11" fillId="0" borderId="0" xfId="0" applyNumberFormat="1" applyFont="1"/>
    <xf numFmtId="0" fontId="1" fillId="0" borderId="0" xfId="1"/>
    <xf numFmtId="2" fontId="10" fillId="0" borderId="0" xfId="0" applyNumberFormat="1" applyFont="1"/>
    <xf numFmtId="2" fontId="1" fillId="0" borderId="0" xfId="1" applyNumberFormat="1"/>
    <xf numFmtId="2" fontId="11" fillId="0" borderId="0" xfId="0" applyNumberFormat="1" applyFont="1"/>
    <xf numFmtId="1" fontId="1" fillId="0" borderId="0" xfId="1" applyNumberFormat="1"/>
    <xf numFmtId="1" fontId="0" fillId="0" borderId="0" xfId="0" applyNumberFormat="1"/>
    <xf numFmtId="49" fontId="1" fillId="2" borderId="0" xfId="1" applyNumberFormat="1" applyFill="1"/>
    <xf numFmtId="1" fontId="12" fillId="0" borderId="0" xfId="0" applyNumberFormat="1" applyFont="1"/>
    <xf numFmtId="0" fontId="12" fillId="0" borderId="0" xfId="0" applyFont="1"/>
    <xf numFmtId="164" fontId="0" fillId="0" borderId="0" xfId="0" applyNumberFormat="1"/>
    <xf numFmtId="0" fontId="15" fillId="0" borderId="0" xfId="0" applyFont="1"/>
    <xf numFmtId="0" fontId="11" fillId="0" borderId="0" xfId="0" applyFont="1"/>
    <xf numFmtId="0" fontId="0" fillId="0" borderId="0" xfId="0" applyAlignment="1">
      <alignment horizontal="center"/>
    </xf>
    <xf numFmtId="0" fontId="0" fillId="0" borderId="2" xfId="0" applyBorder="1" applyAlignment="1">
      <alignment horizontal="center"/>
    </xf>
  </cellXfs>
  <cellStyles count="1497">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cellStyle name="Normal" xfId="0" builtinId="0"/>
    <cellStyle name="Normal 2" xfId="24" xr:uid="{00000000-0005-0000-0000-0000D5050000}"/>
    <cellStyle name="Normal 2 2" xfId="171" xr:uid="{00000000-0005-0000-0000-0000D6050000}"/>
    <cellStyle name="Normal 3" xfId="1" xr:uid="{00000000-0005-0000-0000-0000D705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cei.noaa.gov/pub/data/paleo/contributions_by_author/clemens2021/clemens2021-u1446-mgca-noaa.tx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cei.noaa.gov/pub/data/paleo/contributions_by_author/henry2016/henry2016sst.tx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odp1014a-tab.tx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odp999a-tab.tx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u939-tab.tx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ncei.noaa.gov/pub/data/paleo/contributions_by_author/crosta2004/crosta2004.txt"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ncei.noaa.gov/pub/data/paleo/paleocean/sediment_files/complete/md2-2575-tab.tx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rc10-62_sst.age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rc13-110_sst.ager"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v19-29_sst.ager"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vntr1-8_sst.ager"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ncei.noaa.gov/pub/data/paleo/contributions_by_author/dyez2016/dyez2016-sst-merge.txt"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ncei.noaa.gov/pub/data/paleo/reconstructions/kumar2022/nh22p_kumar2022.txt"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ncei.noaa.gov/pub/data/paleo/contributions_by_author/lea2004/lea2004.txt"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sk157_4-tab.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01D8F-4DAE-2147-A158-CD02AB847332}">
  <sheetPr>
    <tabColor theme="6"/>
  </sheetPr>
  <dimension ref="A1:U2"/>
  <sheetViews>
    <sheetView workbookViewId="0">
      <selection activeCell="C8" sqref="C8"/>
    </sheetView>
  </sheetViews>
  <sheetFormatPr baseColWidth="10" defaultColWidth="11.5703125" defaultRowHeight="16" x14ac:dyDescent="0.2"/>
  <sheetData>
    <row r="1" spans="1:21" s="2" customFormat="1" ht="47" customHeight="1" x14ac:dyDescent="0.2">
      <c r="A1" s="3" t="s">
        <v>12</v>
      </c>
      <c r="B1" s="3" t="s">
        <v>5</v>
      </c>
      <c r="C1" s="3" t="s">
        <v>13</v>
      </c>
      <c r="D1" s="3" t="s">
        <v>14</v>
      </c>
      <c r="E1" s="4" t="s">
        <v>6</v>
      </c>
      <c r="F1" s="4" t="s">
        <v>7</v>
      </c>
      <c r="G1" s="4" t="s">
        <v>8</v>
      </c>
      <c r="H1" s="4" t="s">
        <v>1</v>
      </c>
      <c r="I1" s="4" t="s">
        <v>2</v>
      </c>
      <c r="J1" s="4" t="s">
        <v>3</v>
      </c>
      <c r="K1" s="4" t="s">
        <v>4</v>
      </c>
      <c r="L1" s="4" t="s">
        <v>10</v>
      </c>
      <c r="M1" s="4" t="s">
        <v>24</v>
      </c>
      <c r="N1" s="4" t="s">
        <v>0</v>
      </c>
      <c r="O1" s="4" t="s">
        <v>23</v>
      </c>
      <c r="P1" s="4" t="s">
        <v>15</v>
      </c>
      <c r="Q1" s="4" t="s">
        <v>16</v>
      </c>
      <c r="R1" s="4" t="s">
        <v>9</v>
      </c>
      <c r="S1" s="4" t="s">
        <v>17</v>
      </c>
      <c r="T1" s="4" t="s">
        <v>18</v>
      </c>
      <c r="U1" s="4" t="s">
        <v>19</v>
      </c>
    </row>
    <row r="2" spans="1:21" x14ac:dyDescent="0.2">
      <c r="E2" s="28" t="s">
        <v>21</v>
      </c>
      <c r="F2" s="28"/>
      <c r="G2" s="28"/>
      <c r="H2" s="28"/>
      <c r="I2" s="28"/>
      <c r="J2" s="28"/>
      <c r="K2" s="28"/>
      <c r="N2" s="27" t="s">
        <v>22</v>
      </c>
      <c r="O2" s="27"/>
      <c r="P2" s="27"/>
      <c r="Q2" s="27"/>
      <c r="R2" s="27"/>
      <c r="S2" s="27"/>
      <c r="T2" s="27"/>
      <c r="U2" s="27"/>
    </row>
  </sheetData>
  <mergeCells count="2">
    <mergeCell ref="N2:U2"/>
    <mergeCell ref="E2:K2"/>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A1FAE-2AF7-244A-9F03-9E4F512F3A62}">
  <sheetPr>
    <tabColor rgb="FF0000FF"/>
  </sheetPr>
  <dimension ref="A1:Z200"/>
  <sheetViews>
    <sheetView topLeftCell="N1" zoomScale="64" workbookViewId="0">
      <selection activeCell="P13" sqref="P1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6"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6" ht="17" x14ac:dyDescent="0.25">
      <c r="A2" s="9" t="s">
        <v>25</v>
      </c>
      <c r="B2" s="16">
        <v>116.566</v>
      </c>
      <c r="C2" s="16">
        <v>18.835999999999999</v>
      </c>
      <c r="D2" s="16" t="s">
        <v>47</v>
      </c>
      <c r="E2" s="1"/>
      <c r="F2" s="1"/>
      <c r="G2" s="1"/>
      <c r="H2" s="17"/>
      <c r="I2" s="17"/>
      <c r="J2" s="17"/>
      <c r="K2" s="17"/>
      <c r="L2" s="17"/>
      <c r="M2" s="18"/>
      <c r="N2" s="17">
        <v>1499</v>
      </c>
      <c r="O2">
        <v>0.60599999999999998</v>
      </c>
      <c r="P2" s="1" t="s">
        <v>28</v>
      </c>
      <c r="Q2" s="1"/>
      <c r="R2" s="19">
        <v>115040</v>
      </c>
      <c r="S2" s="1"/>
      <c r="T2" s="1" t="s">
        <v>28</v>
      </c>
      <c r="U2" s="1"/>
      <c r="V2" s="6" t="s">
        <v>46</v>
      </c>
      <c r="W2" s="13" t="s">
        <v>44</v>
      </c>
      <c r="Z2">
        <v>-3296</v>
      </c>
    </row>
    <row r="3" spans="1:26" ht="17" x14ac:dyDescent="0.25">
      <c r="B3" s="1"/>
      <c r="C3" s="1"/>
      <c r="D3" s="1"/>
      <c r="E3" s="1"/>
      <c r="F3" s="1"/>
      <c r="G3" s="1"/>
      <c r="H3" s="17"/>
      <c r="I3" s="17"/>
      <c r="J3" s="17"/>
      <c r="K3" s="17"/>
      <c r="L3" s="17"/>
      <c r="M3" s="18"/>
      <c r="N3" s="17">
        <v>1551</v>
      </c>
      <c r="O3">
        <v>0.66900000000000004</v>
      </c>
      <c r="P3" s="1" t="s">
        <v>31</v>
      </c>
      <c r="Q3" s="1"/>
      <c r="R3" s="15">
        <v>119200</v>
      </c>
      <c r="S3" s="1"/>
      <c r="T3" s="1" t="s">
        <v>31</v>
      </c>
      <c r="U3" s="1"/>
    </row>
    <row r="4" spans="1:26" ht="17" x14ac:dyDescent="0.25">
      <c r="B4" s="1"/>
      <c r="C4" s="1"/>
      <c r="D4" s="1"/>
      <c r="E4" s="1"/>
      <c r="F4" s="1"/>
      <c r="G4" s="1"/>
      <c r="H4" s="17"/>
      <c r="I4" s="17"/>
      <c r="J4" s="17"/>
      <c r="K4" s="17"/>
      <c r="L4" s="17"/>
      <c r="M4" s="18"/>
      <c r="N4" s="17">
        <v>1601.0000000000002</v>
      </c>
      <c r="O4">
        <v>0.64300000000000002</v>
      </c>
      <c r="P4" s="1" t="s">
        <v>34</v>
      </c>
      <c r="Q4" s="1"/>
      <c r="R4" s="15">
        <v>123200</v>
      </c>
      <c r="S4" s="1"/>
      <c r="T4" s="1" t="s">
        <v>34</v>
      </c>
      <c r="U4" s="1"/>
    </row>
    <row r="5" spans="1:26" ht="17" x14ac:dyDescent="0.25">
      <c r="B5" s="1"/>
      <c r="C5" s="1"/>
      <c r="D5" s="1"/>
      <c r="E5" s="1"/>
      <c r="F5" s="1"/>
      <c r="G5" s="1"/>
      <c r="H5" s="17"/>
      <c r="I5" s="17"/>
      <c r="J5" s="17"/>
      <c r="K5" s="17"/>
      <c r="L5" s="17"/>
      <c r="M5" s="18"/>
      <c r="N5" s="17">
        <v>1651.0000000000002</v>
      </c>
      <c r="O5">
        <v>0.59399999999999997</v>
      </c>
      <c r="P5" s="1" t="s">
        <v>37</v>
      </c>
      <c r="Q5" s="1"/>
      <c r="R5" s="15">
        <v>128465</v>
      </c>
      <c r="S5" s="1"/>
      <c r="T5" s="1" t="s">
        <v>37</v>
      </c>
      <c r="U5" s="1"/>
    </row>
    <row r="6" spans="1:26" ht="17" x14ac:dyDescent="0.25">
      <c r="B6" s="1"/>
      <c r="C6" s="1"/>
      <c r="D6" s="1"/>
      <c r="E6" s="17"/>
      <c r="F6" s="17"/>
      <c r="G6" s="17"/>
      <c r="H6" s="17"/>
      <c r="I6" s="17"/>
      <c r="J6" s="17"/>
      <c r="K6" s="17"/>
      <c r="L6" s="17"/>
      <c r="M6" s="18"/>
      <c r="N6" s="17">
        <v>1701.0000000000002</v>
      </c>
      <c r="O6">
        <v>0.56999999999999995</v>
      </c>
      <c r="P6" s="1" t="s">
        <v>40</v>
      </c>
      <c r="Q6" s="1"/>
      <c r="R6" s="15">
        <v>134047</v>
      </c>
      <c r="S6" s="1"/>
      <c r="T6" s="1" t="s">
        <v>40</v>
      </c>
      <c r="U6" s="1"/>
    </row>
    <row r="7" spans="1:26" ht="17" x14ac:dyDescent="0.25">
      <c r="B7" s="1"/>
      <c r="C7" s="1"/>
      <c r="D7" s="1"/>
      <c r="E7" s="17"/>
      <c r="F7" s="17"/>
      <c r="G7" s="17"/>
      <c r="H7" s="17"/>
      <c r="I7" s="17"/>
      <c r="J7" s="17"/>
      <c r="K7" s="17"/>
      <c r="L7" s="17"/>
      <c r="M7" s="18"/>
      <c r="N7" s="17">
        <v>1751.0000000000002</v>
      </c>
      <c r="O7">
        <v>0.57099999999999995</v>
      </c>
      <c r="P7" s="1" t="s">
        <v>40</v>
      </c>
      <c r="Q7" s="1"/>
      <c r="R7" s="15">
        <v>139628</v>
      </c>
      <c r="S7" s="1"/>
      <c r="T7" s="1" t="s">
        <v>40</v>
      </c>
      <c r="U7" s="1"/>
    </row>
    <row r="8" spans="1:26" x14ac:dyDescent="0.2">
      <c r="B8" s="1"/>
      <c r="C8" s="1"/>
      <c r="D8" s="1"/>
      <c r="E8" s="17"/>
      <c r="F8" s="17"/>
      <c r="G8" s="17"/>
      <c r="H8" s="17"/>
      <c r="I8" s="17"/>
      <c r="J8" s="17"/>
      <c r="K8" s="17"/>
      <c r="L8" s="17"/>
      <c r="M8" s="17"/>
      <c r="N8" s="17"/>
      <c r="O8" s="17"/>
      <c r="P8" s="17"/>
      <c r="Q8" s="1"/>
      <c r="R8" s="1"/>
      <c r="S8" s="1"/>
      <c r="T8" s="1"/>
      <c r="U8" s="1"/>
    </row>
    <row r="9" spans="1:26" x14ac:dyDescent="0.2">
      <c r="B9" s="1"/>
      <c r="C9" s="1"/>
      <c r="D9" s="1"/>
      <c r="E9" s="17"/>
      <c r="F9" s="17"/>
      <c r="G9" s="17"/>
      <c r="H9" s="17"/>
      <c r="I9" s="17"/>
      <c r="J9" s="17"/>
      <c r="K9" s="17"/>
      <c r="L9" s="17"/>
      <c r="M9" s="17"/>
      <c r="N9" s="17"/>
      <c r="O9" s="17"/>
      <c r="P9" s="17"/>
      <c r="Q9" s="1"/>
      <c r="R9" s="1"/>
      <c r="S9" s="1"/>
      <c r="T9" s="1"/>
      <c r="U9" s="1"/>
    </row>
    <row r="10" spans="1:26" x14ac:dyDescent="0.2">
      <c r="B10" s="1"/>
      <c r="C10" s="1"/>
      <c r="D10" s="1"/>
      <c r="E10" s="17"/>
      <c r="F10" s="17"/>
      <c r="G10" s="17"/>
      <c r="H10" s="17"/>
      <c r="I10" s="17"/>
      <c r="J10" s="17"/>
      <c r="K10" s="17"/>
      <c r="L10" s="17"/>
      <c r="M10" s="17"/>
      <c r="N10" s="17"/>
      <c r="O10" s="17"/>
      <c r="P10" s="17"/>
      <c r="Q10" s="1"/>
      <c r="R10" s="1"/>
      <c r="S10" s="1"/>
      <c r="T10" s="1"/>
      <c r="U10" s="1"/>
    </row>
    <row r="11" spans="1:26" x14ac:dyDescent="0.2">
      <c r="B11" s="1"/>
      <c r="C11" s="1"/>
      <c r="D11" s="1"/>
      <c r="E11" s="17"/>
      <c r="F11" s="17"/>
      <c r="G11" s="17"/>
      <c r="H11" s="17"/>
      <c r="I11" s="17"/>
      <c r="J11" s="17"/>
      <c r="K11" s="17"/>
      <c r="L11" s="17"/>
      <c r="M11" s="17"/>
      <c r="N11" s="17"/>
      <c r="O11" s="17"/>
      <c r="P11" s="17"/>
      <c r="Q11" s="1"/>
      <c r="R11" s="1"/>
      <c r="S11" s="1"/>
      <c r="T11" s="1"/>
      <c r="U11" s="1"/>
    </row>
    <row r="12" spans="1:26" x14ac:dyDescent="0.2">
      <c r="B12" s="1"/>
      <c r="C12" s="1"/>
      <c r="D12" s="1"/>
      <c r="E12" s="17"/>
      <c r="F12" s="17"/>
      <c r="G12" s="17"/>
      <c r="H12" s="17"/>
      <c r="I12" s="17"/>
      <c r="J12" s="17"/>
      <c r="K12" s="17"/>
      <c r="L12" s="17"/>
      <c r="M12" s="17"/>
      <c r="N12" s="17"/>
      <c r="O12" s="17"/>
      <c r="P12" s="17"/>
      <c r="Q12" s="1"/>
      <c r="R12" s="1"/>
      <c r="S12" s="1"/>
      <c r="T12" s="1"/>
      <c r="U12" s="1"/>
    </row>
    <row r="13" spans="1:26" x14ac:dyDescent="0.2">
      <c r="B13" s="1"/>
      <c r="C13" s="1"/>
      <c r="D13" s="1"/>
      <c r="E13" s="17"/>
      <c r="F13" s="17"/>
      <c r="G13" s="17"/>
      <c r="H13" s="17"/>
      <c r="I13" s="17"/>
      <c r="J13" s="17"/>
      <c r="K13" s="17"/>
      <c r="L13" s="17"/>
      <c r="M13" s="17"/>
      <c r="N13" s="17"/>
      <c r="O13" s="17"/>
      <c r="P13" s="17"/>
      <c r="Q13" s="1"/>
      <c r="R13" s="1"/>
      <c r="S13" s="1"/>
      <c r="T13" s="1"/>
      <c r="U13" s="1"/>
    </row>
    <row r="14" spans="1:26" x14ac:dyDescent="0.2">
      <c r="B14" s="1"/>
      <c r="C14" s="1"/>
      <c r="D14" s="1"/>
      <c r="E14" s="17"/>
      <c r="F14" s="17"/>
      <c r="G14" s="17"/>
      <c r="H14" s="17"/>
      <c r="I14" s="17"/>
      <c r="J14" s="17"/>
      <c r="K14" s="17"/>
      <c r="L14" s="17"/>
      <c r="M14" s="17"/>
      <c r="N14" s="17"/>
      <c r="O14" s="17"/>
      <c r="P14" s="17"/>
      <c r="Q14" s="1"/>
      <c r="R14" s="1"/>
      <c r="S14" s="1"/>
      <c r="T14" s="1"/>
      <c r="U14" s="1"/>
    </row>
    <row r="15" spans="1:26" x14ac:dyDescent="0.2">
      <c r="B15" s="1"/>
      <c r="C15" s="1"/>
      <c r="D15" s="1"/>
      <c r="E15" s="17"/>
      <c r="F15" s="17"/>
      <c r="G15" s="17"/>
      <c r="H15" s="17"/>
      <c r="I15" s="17"/>
      <c r="J15" s="17"/>
      <c r="K15" s="17"/>
      <c r="L15" s="17"/>
      <c r="M15" s="17"/>
      <c r="N15" s="17"/>
      <c r="O15" s="17"/>
      <c r="P15" s="17"/>
      <c r="Q15" s="1"/>
      <c r="R15" s="1"/>
      <c r="S15" s="1"/>
      <c r="T15" s="1"/>
      <c r="U15" s="1"/>
    </row>
    <row r="16" spans="1:26" x14ac:dyDescent="0.2">
      <c r="B16" s="1"/>
      <c r="C16" s="1"/>
      <c r="D16" s="1"/>
      <c r="E16" s="17"/>
      <c r="F16" s="17"/>
      <c r="G16" s="17"/>
      <c r="H16" s="17"/>
      <c r="I16" s="17"/>
      <c r="J16" s="17"/>
      <c r="K16" s="17"/>
      <c r="L16" s="17"/>
      <c r="M16" s="17"/>
      <c r="N16" s="17"/>
      <c r="O16" s="17"/>
      <c r="P16" s="17"/>
      <c r="Q16" s="1"/>
      <c r="R16" s="1"/>
      <c r="S16" s="1"/>
      <c r="T16" s="1"/>
      <c r="U16" s="1"/>
    </row>
    <row r="17" spans="2:21" x14ac:dyDescent="0.2">
      <c r="B17" s="1"/>
      <c r="C17" s="1"/>
      <c r="D17" s="1"/>
      <c r="E17" s="17"/>
      <c r="F17" s="17"/>
      <c r="G17" s="17"/>
      <c r="H17" s="17"/>
      <c r="I17" s="17"/>
      <c r="J17" s="17"/>
      <c r="K17" s="17"/>
      <c r="L17" s="17"/>
      <c r="M17" s="17"/>
      <c r="N17" s="17"/>
      <c r="O17" s="17"/>
      <c r="P17" s="17"/>
      <c r="Q17" s="1"/>
      <c r="R17" s="1"/>
      <c r="S17" s="1"/>
      <c r="T17" s="1"/>
      <c r="U17" s="1"/>
    </row>
    <row r="18" spans="2:21" x14ac:dyDescent="0.2">
      <c r="B18" s="1"/>
      <c r="C18" s="1"/>
      <c r="D18" s="1"/>
      <c r="E18" s="17"/>
      <c r="F18" s="17"/>
      <c r="G18" s="17"/>
      <c r="H18" s="17"/>
      <c r="I18" s="17"/>
      <c r="J18" s="17"/>
      <c r="K18" s="17"/>
      <c r="L18" s="17"/>
      <c r="M18" s="17"/>
      <c r="N18" s="17"/>
      <c r="O18" s="17"/>
      <c r="P18" s="17"/>
      <c r="Q18" s="1"/>
      <c r="R18" s="1"/>
      <c r="S18" s="1"/>
      <c r="T18" s="1"/>
      <c r="U18" s="1"/>
    </row>
    <row r="19" spans="2:21" x14ac:dyDescent="0.2">
      <c r="B19" s="1"/>
      <c r="C19" s="1"/>
      <c r="D19" s="1"/>
      <c r="E19" s="17"/>
      <c r="F19" s="17"/>
      <c r="G19" s="17"/>
      <c r="H19" s="17"/>
      <c r="I19" s="17"/>
      <c r="J19" s="17"/>
      <c r="K19" s="17"/>
      <c r="L19" s="17"/>
      <c r="M19" s="17"/>
      <c r="N19" s="17"/>
      <c r="O19" s="17"/>
      <c r="P19" s="17"/>
      <c r="Q19" s="1"/>
      <c r="R19" s="1"/>
      <c r="S19" s="1"/>
      <c r="T19" s="1"/>
      <c r="U19" s="1"/>
    </row>
    <row r="20" spans="2:21" x14ac:dyDescent="0.2">
      <c r="B20" s="1"/>
      <c r="C20" s="1"/>
      <c r="D20" s="1"/>
      <c r="E20" s="17"/>
      <c r="F20" s="17"/>
      <c r="G20" s="17"/>
      <c r="H20" s="17"/>
      <c r="I20" s="17"/>
      <c r="J20" s="17"/>
      <c r="K20" s="17"/>
      <c r="L20" s="17"/>
      <c r="M20" s="17"/>
      <c r="N20" s="17"/>
      <c r="O20" s="17"/>
      <c r="P20" s="17"/>
      <c r="Q20" s="1"/>
      <c r="R20" s="1"/>
      <c r="S20" s="1"/>
      <c r="T20" s="1"/>
      <c r="U20" s="1"/>
    </row>
    <row r="21" spans="2:21" x14ac:dyDescent="0.2">
      <c r="B21" s="1"/>
      <c r="C21" s="1"/>
      <c r="D21" s="1"/>
      <c r="E21" s="17"/>
      <c r="F21" s="17"/>
      <c r="G21" s="17"/>
      <c r="H21" s="17"/>
      <c r="I21" s="17"/>
      <c r="J21" s="17"/>
      <c r="K21" s="17"/>
      <c r="L21" s="17"/>
      <c r="M21" s="17"/>
      <c r="N21" s="17"/>
      <c r="O21" s="17"/>
      <c r="P21" s="17"/>
      <c r="Q21" s="1"/>
      <c r="R21" s="1"/>
      <c r="S21" s="1"/>
      <c r="T21" s="1"/>
      <c r="U21" s="1"/>
    </row>
    <row r="22" spans="2:21" x14ac:dyDescent="0.2">
      <c r="B22" s="1"/>
      <c r="C22" s="1"/>
      <c r="D22" s="1"/>
      <c r="E22" s="17"/>
      <c r="F22" s="17"/>
      <c r="G22" s="17"/>
      <c r="H22" s="17"/>
      <c r="I22" s="17"/>
      <c r="J22" s="17"/>
      <c r="K22" s="17"/>
      <c r="L22" s="17"/>
      <c r="M22" s="17"/>
      <c r="N22" s="17"/>
      <c r="O22" s="17"/>
      <c r="P22" s="17"/>
      <c r="Q22" s="1"/>
      <c r="R22" s="1"/>
      <c r="S22" s="1"/>
      <c r="T22" s="1"/>
      <c r="U22" s="1"/>
    </row>
    <row r="23" spans="2:21" x14ac:dyDescent="0.2">
      <c r="B23" s="1"/>
      <c r="C23" s="1"/>
      <c r="D23" s="1"/>
      <c r="E23" s="17"/>
      <c r="F23" s="17"/>
      <c r="G23" s="17"/>
      <c r="H23" s="17"/>
      <c r="I23" s="17"/>
      <c r="J23" s="17"/>
      <c r="K23" s="17"/>
      <c r="L23" s="17"/>
      <c r="M23" s="17"/>
      <c r="N23" s="17"/>
      <c r="O23" s="17"/>
      <c r="P23" s="17"/>
      <c r="Q23" s="1"/>
      <c r="R23" s="1"/>
      <c r="S23" s="1"/>
      <c r="T23" s="1"/>
      <c r="U23" s="1"/>
    </row>
    <row r="24" spans="2:21" x14ac:dyDescent="0.2">
      <c r="B24" s="1"/>
      <c r="C24" s="1"/>
      <c r="D24" s="1"/>
      <c r="E24" s="17"/>
      <c r="F24" s="17"/>
      <c r="G24" s="17"/>
      <c r="H24" s="17"/>
      <c r="I24" s="17"/>
      <c r="J24" s="17"/>
      <c r="K24" s="17"/>
      <c r="L24" s="17"/>
      <c r="M24" s="17"/>
      <c r="N24" s="17"/>
      <c r="O24" s="17"/>
      <c r="P24" s="17"/>
      <c r="Q24" s="1"/>
      <c r="R24" s="1"/>
      <c r="S24" s="1"/>
      <c r="T24" s="1"/>
      <c r="U24" s="1"/>
    </row>
    <row r="25" spans="2:21" x14ac:dyDescent="0.2">
      <c r="B25" s="1"/>
      <c r="C25" s="1"/>
      <c r="D25" s="1"/>
      <c r="E25" s="17"/>
      <c r="F25" s="17"/>
      <c r="G25" s="17"/>
      <c r="H25" s="17"/>
      <c r="I25" s="17"/>
      <c r="J25" s="17"/>
      <c r="K25" s="17"/>
      <c r="L25" s="17"/>
      <c r="M25" s="17"/>
      <c r="N25" s="17"/>
      <c r="O25" s="17"/>
      <c r="P25" s="17"/>
      <c r="Q25" s="1"/>
      <c r="R25" s="1"/>
      <c r="S25" s="1"/>
      <c r="T25" s="1"/>
      <c r="U25" s="1"/>
    </row>
    <row r="26" spans="2:21" x14ac:dyDescent="0.2">
      <c r="B26" s="1"/>
      <c r="C26" s="1"/>
      <c r="D26" s="1"/>
      <c r="E26" s="17"/>
      <c r="F26" s="17"/>
      <c r="G26" s="17"/>
      <c r="H26" s="17"/>
      <c r="I26" s="17"/>
      <c r="J26" s="17"/>
      <c r="K26" s="17"/>
      <c r="L26" s="17"/>
      <c r="M26" s="17"/>
      <c r="N26" s="17"/>
      <c r="O26" s="17"/>
      <c r="P26" s="17"/>
      <c r="Q26" s="1"/>
      <c r="R26" s="1"/>
      <c r="S26" s="1"/>
      <c r="T26" s="1"/>
      <c r="U26" s="1"/>
    </row>
    <row r="27" spans="2:21" x14ac:dyDescent="0.2">
      <c r="B27" s="1"/>
      <c r="C27" s="1"/>
      <c r="D27" s="1"/>
      <c r="E27" s="17"/>
      <c r="F27" s="17"/>
      <c r="G27" s="17"/>
      <c r="H27" s="17"/>
      <c r="I27" s="17"/>
      <c r="J27" s="17"/>
      <c r="K27" s="17"/>
      <c r="L27" s="17"/>
      <c r="M27" s="17"/>
      <c r="N27" s="17"/>
      <c r="O27" s="17"/>
      <c r="P27" s="17"/>
      <c r="Q27" s="1"/>
      <c r="R27" s="1"/>
      <c r="S27" s="1"/>
      <c r="T27" s="1"/>
      <c r="U27" s="1"/>
    </row>
    <row r="28" spans="2:21" x14ac:dyDescent="0.2">
      <c r="B28" s="1"/>
      <c r="C28" s="1"/>
      <c r="D28" s="1"/>
      <c r="E28" s="17"/>
      <c r="F28" s="17"/>
      <c r="G28" s="17"/>
      <c r="H28" s="17"/>
      <c r="I28" s="17"/>
      <c r="J28" s="17"/>
      <c r="K28" s="17"/>
      <c r="L28" s="17"/>
      <c r="M28" s="17"/>
      <c r="N28" s="17"/>
      <c r="O28" s="17"/>
      <c r="P28" s="17"/>
      <c r="Q28" s="1"/>
      <c r="R28" s="1"/>
      <c r="S28" s="1"/>
      <c r="T28" s="1"/>
      <c r="U28" s="1"/>
    </row>
    <row r="29" spans="2:21" x14ac:dyDescent="0.2">
      <c r="B29" s="1"/>
      <c r="C29" s="1"/>
      <c r="D29" s="1"/>
      <c r="E29" s="17"/>
      <c r="F29" s="17"/>
      <c r="G29" s="17"/>
      <c r="H29" s="17"/>
      <c r="I29" s="17"/>
      <c r="J29" s="17"/>
      <c r="K29" s="17"/>
      <c r="L29" s="17"/>
      <c r="M29" s="17"/>
      <c r="N29" s="17"/>
      <c r="O29" s="17"/>
      <c r="P29" s="17"/>
      <c r="Q29" s="1"/>
      <c r="R29" s="1"/>
      <c r="S29" s="1"/>
      <c r="T29" s="1"/>
      <c r="U29" s="1"/>
    </row>
    <row r="30" spans="2:21" x14ac:dyDescent="0.2">
      <c r="B30" s="1"/>
      <c r="C30" s="1"/>
      <c r="D30" s="1"/>
      <c r="E30" s="17"/>
      <c r="F30" s="17"/>
      <c r="G30" s="17"/>
      <c r="H30" s="17"/>
      <c r="I30" s="17"/>
      <c r="J30" s="17"/>
      <c r="K30" s="17"/>
      <c r="L30" s="17"/>
      <c r="M30" s="17"/>
      <c r="N30" s="17"/>
      <c r="O30" s="17"/>
      <c r="P30" s="17"/>
      <c r="Q30" s="1"/>
      <c r="R30" s="1"/>
      <c r="S30" s="1"/>
      <c r="T30" s="1"/>
      <c r="U30" s="1"/>
    </row>
    <row r="31" spans="2:21" x14ac:dyDescent="0.2">
      <c r="B31" s="1"/>
      <c r="C31" s="1"/>
      <c r="D31" s="1"/>
      <c r="E31" s="17"/>
      <c r="F31" s="17"/>
      <c r="G31" s="17"/>
      <c r="H31" s="17"/>
      <c r="I31" s="17"/>
      <c r="J31" s="17"/>
      <c r="K31" s="17"/>
      <c r="L31" s="17"/>
      <c r="M31" s="17"/>
      <c r="N31" s="17"/>
      <c r="O31" s="17"/>
      <c r="P31" s="17"/>
      <c r="Q31" s="1"/>
      <c r="R31" s="1"/>
      <c r="S31" s="1"/>
      <c r="T31" s="1"/>
      <c r="U31" s="1"/>
    </row>
    <row r="32" spans="2:21" x14ac:dyDescent="0.2">
      <c r="B32" s="1"/>
      <c r="C32" s="1"/>
      <c r="D32" s="1"/>
      <c r="E32" s="17"/>
      <c r="F32" s="17"/>
      <c r="G32" s="17"/>
      <c r="H32" s="17"/>
      <c r="I32" s="17"/>
      <c r="J32" s="17"/>
      <c r="K32" s="17"/>
      <c r="L32" s="17"/>
      <c r="M32" s="17"/>
      <c r="N32" s="17"/>
      <c r="O32" s="17"/>
      <c r="P32" s="17"/>
      <c r="Q32" s="1"/>
      <c r="R32" s="1"/>
      <c r="S32" s="1"/>
      <c r="T32" s="1"/>
      <c r="U32" s="1"/>
    </row>
    <row r="33" spans="2:21" x14ac:dyDescent="0.2">
      <c r="B33" s="1"/>
      <c r="C33" s="1"/>
      <c r="D33" s="1"/>
      <c r="E33" s="17"/>
      <c r="F33" s="17"/>
      <c r="G33" s="17"/>
      <c r="H33" s="17"/>
      <c r="I33" s="17"/>
      <c r="J33" s="17"/>
      <c r="K33" s="17"/>
      <c r="L33" s="17"/>
      <c r="M33" s="17"/>
      <c r="N33" s="17"/>
      <c r="O33" s="17"/>
      <c r="P33" s="17"/>
      <c r="Q33" s="1"/>
      <c r="R33" s="1"/>
      <c r="S33" s="1"/>
      <c r="T33" s="1"/>
      <c r="U33" s="1"/>
    </row>
    <row r="34" spans="2:21" x14ac:dyDescent="0.2">
      <c r="B34" s="1"/>
      <c r="C34" s="1"/>
      <c r="D34" s="1"/>
      <c r="E34" s="17"/>
      <c r="F34" s="17"/>
      <c r="G34" s="17"/>
      <c r="H34" s="17"/>
      <c r="I34" s="17"/>
      <c r="J34" s="17"/>
      <c r="K34" s="17"/>
      <c r="L34" s="17"/>
      <c r="M34" s="17"/>
      <c r="N34" s="17"/>
      <c r="O34" s="17"/>
      <c r="P34" s="17"/>
      <c r="Q34" s="1"/>
      <c r="R34" s="1"/>
      <c r="S34" s="1"/>
      <c r="T34" s="1"/>
      <c r="U34" s="1"/>
    </row>
    <row r="35" spans="2:21" x14ac:dyDescent="0.2">
      <c r="B35" s="1"/>
      <c r="C35" s="1"/>
      <c r="D35" s="1"/>
      <c r="E35" s="17"/>
      <c r="F35" s="17"/>
      <c r="G35" s="17"/>
      <c r="H35" s="17"/>
      <c r="I35" s="17"/>
      <c r="J35" s="17"/>
      <c r="K35" s="17"/>
      <c r="L35" s="17"/>
      <c r="M35" s="17"/>
      <c r="N35" s="17"/>
      <c r="O35" s="17"/>
      <c r="P35" s="17"/>
      <c r="Q35" s="1"/>
      <c r="R35" s="1"/>
      <c r="S35" s="1"/>
      <c r="T35" s="1"/>
      <c r="U35" s="1"/>
    </row>
    <row r="36" spans="2:21" x14ac:dyDescent="0.2">
      <c r="B36" s="1"/>
      <c r="C36" s="1"/>
      <c r="D36" s="1"/>
      <c r="E36" s="17"/>
      <c r="F36" s="17"/>
      <c r="G36" s="17"/>
      <c r="H36" s="17"/>
      <c r="I36" s="17"/>
      <c r="J36" s="17"/>
      <c r="K36" s="17"/>
      <c r="L36" s="17"/>
      <c r="M36" s="17"/>
      <c r="N36" s="17"/>
      <c r="O36" s="17"/>
      <c r="P36" s="17"/>
      <c r="Q36" s="1"/>
      <c r="R36" s="1"/>
      <c r="S36" s="1"/>
      <c r="T36" s="1"/>
      <c r="U36" s="1"/>
    </row>
    <row r="37" spans="2:21" x14ac:dyDescent="0.2">
      <c r="B37" s="1"/>
      <c r="C37" s="1"/>
      <c r="D37" s="1"/>
      <c r="E37" s="17"/>
      <c r="F37" s="17"/>
      <c r="G37" s="17"/>
      <c r="H37" s="17"/>
      <c r="I37" s="17"/>
      <c r="J37" s="17"/>
      <c r="K37" s="17"/>
      <c r="L37" s="17"/>
      <c r="M37" s="17"/>
      <c r="N37" s="17"/>
      <c r="O37" s="17"/>
      <c r="P37" s="17"/>
      <c r="Q37" s="1"/>
      <c r="R37" s="1"/>
      <c r="S37" s="1"/>
      <c r="T37" s="1"/>
      <c r="U37" s="1"/>
    </row>
    <row r="38" spans="2:21" x14ac:dyDescent="0.2">
      <c r="B38" s="1"/>
      <c r="C38" s="1"/>
      <c r="D38" s="1"/>
      <c r="E38" s="17"/>
      <c r="F38" s="17"/>
      <c r="G38" s="17"/>
      <c r="H38" s="17"/>
      <c r="I38" s="17"/>
      <c r="J38" s="17"/>
      <c r="K38" s="17"/>
      <c r="L38" s="17"/>
      <c r="M38" s="17"/>
      <c r="N38" s="17"/>
      <c r="O38" s="17"/>
      <c r="P38" s="17"/>
      <c r="Q38" s="1"/>
      <c r="R38" s="1"/>
      <c r="S38" s="1"/>
      <c r="T38" s="1"/>
      <c r="U38" s="1"/>
    </row>
    <row r="39" spans="2:21" x14ac:dyDescent="0.2">
      <c r="B39" s="1"/>
      <c r="C39" s="1"/>
      <c r="D39" s="1"/>
      <c r="E39" s="17"/>
      <c r="F39" s="17"/>
      <c r="G39" s="17"/>
      <c r="H39" s="17"/>
      <c r="I39" s="17"/>
      <c r="J39" s="17"/>
      <c r="K39" s="17"/>
      <c r="L39" s="17"/>
      <c r="M39" s="17"/>
      <c r="N39" s="17"/>
      <c r="O39" s="17"/>
      <c r="P39" s="17"/>
      <c r="Q39" s="1"/>
      <c r="R39" s="1"/>
      <c r="S39" s="1"/>
      <c r="T39" s="1"/>
      <c r="U39" s="1"/>
    </row>
    <row r="40" spans="2:21" x14ac:dyDescent="0.2">
      <c r="B40" s="1"/>
      <c r="C40" s="1"/>
      <c r="D40" s="1"/>
      <c r="E40" s="17"/>
      <c r="F40" s="17"/>
      <c r="G40" s="17"/>
      <c r="H40" s="17"/>
      <c r="I40" s="17"/>
      <c r="J40" s="17"/>
      <c r="K40" s="17"/>
      <c r="L40" s="17"/>
      <c r="M40" s="17"/>
      <c r="N40" s="17"/>
      <c r="O40" s="17"/>
      <c r="P40" s="17"/>
      <c r="Q40" s="1"/>
      <c r="R40" s="1"/>
      <c r="S40" s="1"/>
      <c r="T40" s="1"/>
      <c r="U40" s="1"/>
    </row>
    <row r="41" spans="2:21" x14ac:dyDescent="0.2">
      <c r="B41" s="1"/>
      <c r="C41" s="1"/>
      <c r="D41" s="1"/>
      <c r="E41" s="17"/>
      <c r="F41" s="17"/>
      <c r="G41" s="17"/>
      <c r="H41" s="17"/>
      <c r="I41" s="17"/>
      <c r="J41" s="17"/>
      <c r="K41" s="17"/>
      <c r="L41" s="17"/>
      <c r="M41" s="17"/>
      <c r="N41" s="17"/>
      <c r="O41" s="17"/>
      <c r="P41" s="17"/>
      <c r="Q41" s="1"/>
      <c r="R41" s="1"/>
      <c r="S41" s="1"/>
      <c r="T41" s="1"/>
      <c r="U41" s="1"/>
    </row>
    <row r="42" spans="2:21" x14ac:dyDescent="0.2">
      <c r="B42" s="1"/>
      <c r="C42" s="1"/>
      <c r="D42" s="1"/>
      <c r="E42" s="17"/>
      <c r="F42" s="17"/>
      <c r="G42" s="17"/>
      <c r="H42" s="17"/>
      <c r="I42" s="17"/>
      <c r="J42" s="17"/>
      <c r="K42" s="17"/>
      <c r="L42" s="17"/>
      <c r="M42" s="17"/>
      <c r="N42" s="17"/>
      <c r="O42" s="17"/>
      <c r="P42" s="17"/>
      <c r="Q42" s="1"/>
      <c r="R42" s="1"/>
      <c r="S42" s="1"/>
      <c r="T42" s="1"/>
      <c r="U42" s="1"/>
    </row>
    <row r="43" spans="2:21" x14ac:dyDescent="0.2">
      <c r="B43" s="1"/>
      <c r="C43" s="1"/>
      <c r="D43" s="1"/>
      <c r="E43" s="17"/>
      <c r="F43" s="17"/>
      <c r="G43" s="17"/>
      <c r="H43" s="17"/>
      <c r="I43" s="17"/>
      <c r="J43" s="17"/>
      <c r="K43" s="17"/>
      <c r="L43" s="17"/>
      <c r="M43" s="17"/>
      <c r="N43" s="17"/>
      <c r="O43" s="17"/>
      <c r="P43" s="17"/>
      <c r="Q43" s="1"/>
      <c r="R43" s="1"/>
      <c r="S43" s="1"/>
      <c r="T43" s="1"/>
      <c r="U43" s="1"/>
    </row>
    <row r="44" spans="2:21" x14ac:dyDescent="0.2">
      <c r="B44" s="1"/>
      <c r="C44" s="1"/>
      <c r="D44" s="1"/>
      <c r="E44" s="17"/>
      <c r="F44" s="17"/>
      <c r="G44" s="17"/>
      <c r="H44" s="17"/>
      <c r="I44" s="17"/>
      <c r="J44" s="17"/>
      <c r="K44" s="17"/>
      <c r="L44" s="17"/>
      <c r="M44" s="17"/>
      <c r="N44" s="17"/>
      <c r="O44" s="17"/>
      <c r="P44" s="17"/>
      <c r="Q44" s="1"/>
      <c r="R44" s="1"/>
      <c r="S44" s="1"/>
      <c r="T44" s="1"/>
      <c r="U44" s="1"/>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honeticPr fontId="6" type="noConversion"/>
  <hyperlinks>
    <hyperlink ref="W2" r:id="rId1" xr:uid="{1BDDF256-6266-1445-B1F4-A179A5F8E58E}"/>
  </hyperlinks>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E5759-7374-9B47-83EA-2FEB9C9DBD42}">
  <sheetPr>
    <tabColor rgb="FF0000FF"/>
  </sheetPr>
  <dimension ref="A1:AB200"/>
  <sheetViews>
    <sheetView topLeftCell="W1" zoomScale="98" workbookViewId="0">
      <selection activeCell="AA13" sqref="AA1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50</v>
      </c>
      <c r="AA1" s="8" t="s">
        <v>48</v>
      </c>
      <c r="AB1" s="8" t="s">
        <v>55</v>
      </c>
    </row>
    <row r="2" spans="1:28" ht="17" x14ac:dyDescent="0.25">
      <c r="A2" s="9" t="s">
        <v>25</v>
      </c>
      <c r="B2" s="12">
        <v>116.566</v>
      </c>
      <c r="C2" s="12">
        <v>18.835999999999999</v>
      </c>
      <c r="D2" s="10" t="s">
        <v>11</v>
      </c>
      <c r="E2" s="6"/>
      <c r="F2" s="6"/>
      <c r="G2" s="6"/>
      <c r="M2" s="14"/>
      <c r="N2" s="11">
        <v>1499</v>
      </c>
      <c r="O2" s="11" t="s">
        <v>26</v>
      </c>
      <c r="P2" s="6" t="s">
        <v>27</v>
      </c>
      <c r="R2" s="19">
        <v>115040</v>
      </c>
      <c r="T2" s="6" t="s">
        <v>27</v>
      </c>
      <c r="V2" s="6" t="s">
        <v>46</v>
      </c>
      <c r="W2" s="13" t="s">
        <v>44</v>
      </c>
      <c r="Y2" s="6" t="s">
        <v>49</v>
      </c>
      <c r="AB2">
        <v>-3296</v>
      </c>
    </row>
    <row r="3" spans="1:28" ht="17" x14ac:dyDescent="0.25">
      <c r="E3" s="6"/>
      <c r="F3" s="6"/>
      <c r="G3" s="6"/>
      <c r="M3" s="14"/>
      <c r="N3" s="11">
        <v>1551</v>
      </c>
      <c r="O3" s="11" t="s">
        <v>29</v>
      </c>
      <c r="P3" s="6" t="s">
        <v>30</v>
      </c>
      <c r="R3" s="15">
        <v>119200</v>
      </c>
      <c r="T3" s="6" t="s">
        <v>30</v>
      </c>
    </row>
    <row r="4" spans="1:28" ht="17" x14ac:dyDescent="0.25">
      <c r="E4" s="6"/>
      <c r="F4" s="6"/>
      <c r="G4" s="6"/>
      <c r="M4" s="14"/>
      <c r="N4" s="11">
        <v>1601.0000000000002</v>
      </c>
      <c r="O4" s="11" t="s">
        <v>32</v>
      </c>
      <c r="P4" s="6" t="s">
        <v>33</v>
      </c>
      <c r="R4" s="15">
        <v>123200</v>
      </c>
      <c r="T4" s="6" t="s">
        <v>33</v>
      </c>
    </row>
    <row r="5" spans="1:28" ht="17" x14ac:dyDescent="0.25">
      <c r="E5" s="6"/>
      <c r="F5" s="6"/>
      <c r="G5" s="6"/>
      <c r="M5" s="14"/>
      <c r="N5" s="11">
        <v>1651.0000000000002</v>
      </c>
      <c r="O5" s="11" t="s">
        <v>35</v>
      </c>
      <c r="P5" s="6" t="s">
        <v>36</v>
      </c>
      <c r="R5" s="15">
        <v>128465</v>
      </c>
      <c r="T5" s="6" t="s">
        <v>36</v>
      </c>
    </row>
    <row r="6" spans="1:28" ht="17" x14ac:dyDescent="0.25">
      <c r="M6" s="14"/>
      <c r="N6" s="11">
        <v>1701.0000000000002</v>
      </c>
      <c r="O6" s="11" t="s">
        <v>38</v>
      </c>
      <c r="P6" s="6" t="s">
        <v>39</v>
      </c>
      <c r="R6" s="15">
        <v>134047</v>
      </c>
      <c r="T6" s="6" t="s">
        <v>39</v>
      </c>
    </row>
    <row r="7" spans="1:28" ht="17" x14ac:dyDescent="0.25">
      <c r="M7" s="14"/>
      <c r="N7" s="11">
        <v>1751.0000000000002</v>
      </c>
      <c r="O7" s="11" t="s">
        <v>41</v>
      </c>
      <c r="P7" s="6" t="s">
        <v>42</v>
      </c>
      <c r="R7" s="15">
        <v>139628</v>
      </c>
      <c r="T7" s="6" t="s">
        <v>42</v>
      </c>
    </row>
    <row r="9" spans="1:28" x14ac:dyDescent="0.2">
      <c r="O9" s="6"/>
      <c r="P9" s="6"/>
    </row>
    <row r="10" spans="1:28" x14ac:dyDescent="0.2">
      <c r="O10" s="6"/>
      <c r="P10" s="6"/>
    </row>
    <row r="11" spans="1:28" x14ac:dyDescent="0.2">
      <c r="O11" s="6"/>
      <c r="P11" s="6"/>
    </row>
    <row r="12" spans="1:28" x14ac:dyDescent="0.2">
      <c r="O12" s="6"/>
      <c r="P12" s="6"/>
    </row>
    <row r="13" spans="1:28" x14ac:dyDescent="0.2">
      <c r="O13" s="6"/>
      <c r="P13" s="6"/>
    </row>
    <row r="14" spans="1:28" x14ac:dyDescent="0.2">
      <c r="O14" s="6"/>
      <c r="P14" s="6"/>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727C008A-F961-944C-BE20-A5830F2A06AC}"/>
  </hyperlinks>
  <pageMargins left="0.75" right="0.75" top="1" bottom="1" header="0.5" footer="0.5"/>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099-09F6-D548-B13B-2F1524EEADA8}">
  <sheetPr>
    <tabColor rgb="FF0000FF"/>
  </sheetPr>
  <dimension ref="A1:Z200"/>
  <sheetViews>
    <sheetView zoomScale="75" workbookViewId="0">
      <selection activeCell="Z1" sqref="V1:Z1"/>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6"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6" ht="17" x14ac:dyDescent="0.25">
      <c r="A2" s="9" t="s">
        <v>51</v>
      </c>
      <c r="B2" s="12">
        <v>85.733000000000004</v>
      </c>
      <c r="C2" s="12">
        <v>19.082999999999998</v>
      </c>
      <c r="D2" s="10" t="s">
        <v>20</v>
      </c>
      <c r="E2" s="6"/>
      <c r="F2" s="6"/>
      <c r="G2" s="6"/>
      <c r="M2" s="14"/>
      <c r="N2">
        <v>29.032</v>
      </c>
      <c r="O2">
        <v>4.75</v>
      </c>
      <c r="P2">
        <v>28.23</v>
      </c>
      <c r="R2" s="20">
        <v>116140</v>
      </c>
      <c r="T2">
        <v>28.23</v>
      </c>
      <c r="V2" s="6" t="s">
        <v>52</v>
      </c>
      <c r="W2" s="13" t="s">
        <v>53</v>
      </c>
      <c r="Y2" s="6" t="s">
        <v>54</v>
      </c>
      <c r="Z2">
        <v>-1440</v>
      </c>
    </row>
    <row r="3" spans="1:26" ht="17" x14ac:dyDescent="0.25">
      <c r="E3" s="6"/>
      <c r="F3" s="6"/>
      <c r="G3" s="6"/>
      <c r="M3" s="14"/>
      <c r="N3">
        <v>29.332000000000001</v>
      </c>
      <c r="O3">
        <v>4.58</v>
      </c>
      <c r="P3">
        <v>28.3</v>
      </c>
      <c r="R3" s="20">
        <v>117310</v>
      </c>
      <c r="T3">
        <v>28.3</v>
      </c>
    </row>
    <row r="4" spans="1:26" ht="17" x14ac:dyDescent="0.25">
      <c r="E4" s="6"/>
      <c r="F4" s="6"/>
      <c r="G4" s="6"/>
      <c r="M4" s="14"/>
      <c r="N4">
        <v>29.632000000000001</v>
      </c>
      <c r="O4">
        <v>4.55</v>
      </c>
      <c r="P4">
        <v>28.56</v>
      </c>
      <c r="R4" s="20">
        <v>118480</v>
      </c>
      <c r="T4">
        <v>28.56</v>
      </c>
    </row>
    <row r="5" spans="1:26" ht="17" x14ac:dyDescent="0.25">
      <c r="E5" s="6"/>
      <c r="F5" s="6"/>
      <c r="G5" s="6"/>
      <c r="M5" s="14"/>
      <c r="N5">
        <v>29.931999999999999</v>
      </c>
      <c r="O5">
        <v>4.6100000000000003</v>
      </c>
      <c r="P5">
        <v>28.9</v>
      </c>
      <c r="R5" s="20">
        <v>119650</v>
      </c>
      <c r="T5">
        <v>28.9</v>
      </c>
    </row>
    <row r="6" spans="1:26" ht="17" x14ac:dyDescent="0.25">
      <c r="M6" s="14"/>
      <c r="N6">
        <v>30.202000000000002</v>
      </c>
      <c r="O6">
        <v>4.68</v>
      </c>
      <c r="P6">
        <v>29.08</v>
      </c>
      <c r="R6" s="20">
        <v>120700</v>
      </c>
      <c r="T6">
        <v>29.08</v>
      </c>
    </row>
    <row r="7" spans="1:26" ht="17" x14ac:dyDescent="0.25">
      <c r="M7" s="14"/>
      <c r="N7">
        <v>30.552</v>
      </c>
      <c r="O7">
        <v>4.7300000000000004</v>
      </c>
      <c r="P7">
        <v>28.74</v>
      </c>
      <c r="R7" s="20">
        <v>122060</v>
      </c>
      <c r="T7">
        <v>28.74</v>
      </c>
    </row>
    <row r="8" spans="1:26" x14ac:dyDescent="0.2">
      <c r="N8">
        <v>30.852</v>
      </c>
      <c r="O8">
        <v>4.45</v>
      </c>
      <c r="P8">
        <v>28.89</v>
      </c>
      <c r="R8" s="20">
        <v>123230</v>
      </c>
      <c r="T8">
        <v>28.89</v>
      </c>
    </row>
    <row r="9" spans="1:26" x14ac:dyDescent="0.2">
      <c r="N9">
        <v>31.152000000000001</v>
      </c>
      <c r="O9">
        <v>4.55</v>
      </c>
      <c r="P9">
        <v>26.75</v>
      </c>
      <c r="R9" s="20">
        <v>124390</v>
      </c>
      <c r="T9">
        <v>26.75</v>
      </c>
    </row>
    <row r="10" spans="1:26" x14ac:dyDescent="0.2">
      <c r="N10">
        <v>32.326999999999998</v>
      </c>
      <c r="O10">
        <v>4.47</v>
      </c>
      <c r="P10">
        <v>26.34</v>
      </c>
      <c r="R10" s="20">
        <v>128970</v>
      </c>
      <c r="T10">
        <v>26.34</v>
      </c>
    </row>
    <row r="11" spans="1:26" x14ac:dyDescent="0.2">
      <c r="N11">
        <v>32.627000000000002</v>
      </c>
      <c r="O11">
        <v>4.22</v>
      </c>
      <c r="P11">
        <v>26.29</v>
      </c>
      <c r="R11" s="20">
        <v>131720</v>
      </c>
      <c r="T11">
        <v>26.29</v>
      </c>
    </row>
    <row r="12" spans="1:26" x14ac:dyDescent="0.2">
      <c r="N12">
        <v>32.927</v>
      </c>
      <c r="O12">
        <v>4.04</v>
      </c>
      <c r="P12">
        <v>25.99</v>
      </c>
      <c r="R12" s="20">
        <v>134460</v>
      </c>
      <c r="T12">
        <v>25.99</v>
      </c>
    </row>
    <row r="13" spans="1:26" x14ac:dyDescent="0.2">
      <c r="N13">
        <v>33.237000000000002</v>
      </c>
      <c r="O13">
        <v>4.04</v>
      </c>
      <c r="P13">
        <v>26.05</v>
      </c>
      <c r="R13" s="20">
        <v>137300</v>
      </c>
      <c r="T13">
        <v>26.05</v>
      </c>
    </row>
    <row r="14" spans="1:26" x14ac:dyDescent="0.2">
      <c r="N14">
        <v>33.536999999999999</v>
      </c>
      <c r="O14">
        <v>3.83</v>
      </c>
      <c r="P14">
        <v>26.08</v>
      </c>
      <c r="R14" s="20">
        <v>140050</v>
      </c>
      <c r="T14">
        <v>26.08</v>
      </c>
    </row>
    <row r="15" spans="1:26" x14ac:dyDescent="0.2">
      <c r="R15" s="20"/>
    </row>
    <row r="16" spans="1:26" x14ac:dyDescent="0.2">
      <c r="R16" s="20"/>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7C891123-1A15-C14F-AE3D-43B667C469E3}"/>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64AD9-04A4-0B47-B062-E894C3B17EEF}">
  <sheetPr>
    <tabColor rgb="FF0000FF"/>
  </sheetPr>
  <dimension ref="A1:Z200"/>
  <sheetViews>
    <sheetView zoomScale="75" workbookViewId="0">
      <selection activeCell="O16" sqref="O16"/>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6"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6" x14ac:dyDescent="0.2">
      <c r="A2" s="9" t="s">
        <v>57</v>
      </c>
      <c r="B2" s="12">
        <v>-57.575980000000001</v>
      </c>
      <c r="C2" s="12">
        <v>33.6907</v>
      </c>
      <c r="D2" s="10" t="s">
        <v>11</v>
      </c>
      <c r="E2" s="6"/>
      <c r="F2" s="6"/>
      <c r="G2" s="6"/>
      <c r="L2" s="21">
        <v>3292</v>
      </c>
      <c r="M2">
        <v>3.14</v>
      </c>
      <c r="N2"/>
      <c r="O2"/>
      <c r="P2"/>
      <c r="R2">
        <v>115060</v>
      </c>
      <c r="T2">
        <v>21.05</v>
      </c>
      <c r="V2" s="6" t="s">
        <v>59</v>
      </c>
      <c r="W2" s="13" t="s">
        <v>58</v>
      </c>
      <c r="X2" s="6" t="s">
        <v>56</v>
      </c>
      <c r="Z2">
        <v>-4541</v>
      </c>
    </row>
    <row r="3" spans="1:26" x14ac:dyDescent="0.2">
      <c r="E3" s="6"/>
      <c r="F3" s="6"/>
      <c r="G3" s="6"/>
      <c r="L3" s="21">
        <v>3296</v>
      </c>
      <c r="M3">
        <v>3.04</v>
      </c>
      <c r="N3"/>
      <c r="O3"/>
      <c r="P3"/>
      <c r="R3">
        <v>115150</v>
      </c>
      <c r="T3">
        <v>20.62</v>
      </c>
    </row>
    <row r="4" spans="1:26" x14ac:dyDescent="0.2">
      <c r="E4" s="6"/>
      <c r="F4" s="6"/>
      <c r="G4" s="6"/>
      <c r="L4" s="21">
        <v>3324</v>
      </c>
      <c r="M4">
        <v>2.97</v>
      </c>
      <c r="N4"/>
      <c r="O4"/>
      <c r="P4"/>
      <c r="R4">
        <v>115230</v>
      </c>
      <c r="T4">
        <v>20.58</v>
      </c>
    </row>
    <row r="5" spans="1:26" x14ac:dyDescent="0.2">
      <c r="E5" s="6"/>
      <c r="F5" s="6"/>
      <c r="G5" s="6"/>
      <c r="L5" s="21">
        <v>3328</v>
      </c>
      <c r="M5">
        <v>2.61</v>
      </c>
      <c r="N5"/>
      <c r="O5"/>
      <c r="P5"/>
      <c r="R5">
        <v>115310</v>
      </c>
      <c r="T5">
        <v>21.07</v>
      </c>
    </row>
    <row r="6" spans="1:26" x14ac:dyDescent="0.2">
      <c r="L6" s="21">
        <v>3332</v>
      </c>
      <c r="M6">
        <v>2.64</v>
      </c>
      <c r="N6"/>
      <c r="O6"/>
      <c r="P6"/>
      <c r="R6">
        <v>115390</v>
      </c>
      <c r="T6">
        <v>20.72</v>
      </c>
    </row>
    <row r="7" spans="1:26" x14ac:dyDescent="0.2">
      <c r="L7" s="21">
        <v>3336</v>
      </c>
      <c r="M7">
        <v>2.5099999999999998</v>
      </c>
      <c r="N7"/>
      <c r="O7"/>
      <c r="P7"/>
      <c r="R7">
        <v>115460</v>
      </c>
      <c r="T7">
        <v>21.36</v>
      </c>
    </row>
    <row r="8" spans="1:26" x14ac:dyDescent="0.2">
      <c r="L8" s="21">
        <v>3340</v>
      </c>
      <c r="M8">
        <v>2.52</v>
      </c>
      <c r="N8"/>
      <c r="O8"/>
      <c r="P8"/>
      <c r="R8">
        <v>115530</v>
      </c>
      <c r="T8">
        <v>21.16</v>
      </c>
    </row>
    <row r="9" spans="1:26" x14ac:dyDescent="0.2">
      <c r="L9" s="21">
        <v>3344</v>
      </c>
      <c r="M9">
        <v>2.4900000000000002</v>
      </c>
      <c r="N9"/>
      <c r="O9"/>
      <c r="P9"/>
      <c r="R9">
        <v>115600</v>
      </c>
      <c r="T9">
        <v>20.350000000000001</v>
      </c>
    </row>
    <row r="10" spans="1:26" x14ac:dyDescent="0.2">
      <c r="L10" s="21">
        <v>3347.9999999999995</v>
      </c>
      <c r="M10">
        <v>2.41</v>
      </c>
      <c r="N10"/>
      <c r="O10"/>
      <c r="P10"/>
      <c r="R10">
        <v>115670</v>
      </c>
      <c r="T10">
        <v>19.760000000000002</v>
      </c>
    </row>
    <row r="11" spans="1:26" x14ac:dyDescent="0.2">
      <c r="L11" s="21">
        <v>3352.0000000000005</v>
      </c>
      <c r="M11">
        <v>2.4300000000000002</v>
      </c>
      <c r="N11"/>
      <c r="O11"/>
      <c r="P11"/>
      <c r="R11">
        <v>115720</v>
      </c>
      <c r="T11">
        <v>19.98</v>
      </c>
    </row>
    <row r="12" spans="1:26" x14ac:dyDescent="0.2">
      <c r="L12" s="21">
        <v>3356</v>
      </c>
      <c r="M12">
        <v>2.38</v>
      </c>
      <c r="N12"/>
      <c r="O12"/>
      <c r="P12"/>
      <c r="R12">
        <v>115770</v>
      </c>
      <c r="T12">
        <v>19.64</v>
      </c>
    </row>
    <row r="13" spans="1:26" x14ac:dyDescent="0.2">
      <c r="L13" s="21">
        <v>3360</v>
      </c>
      <c r="M13">
        <v>2.4</v>
      </c>
      <c r="N13"/>
      <c r="O13"/>
      <c r="P13"/>
      <c r="R13">
        <v>115810</v>
      </c>
      <c r="T13">
        <v>20.46</v>
      </c>
    </row>
    <row r="14" spans="1:26" x14ac:dyDescent="0.2">
      <c r="L14" s="21">
        <v>3364</v>
      </c>
      <c r="M14">
        <v>2.35</v>
      </c>
      <c r="N14"/>
      <c r="O14"/>
      <c r="P14"/>
      <c r="R14">
        <v>115860</v>
      </c>
      <c r="T14">
        <v>20.36</v>
      </c>
    </row>
    <row r="15" spans="1:26" x14ac:dyDescent="0.2">
      <c r="L15" s="21">
        <v>3368</v>
      </c>
      <c r="M15">
        <v>2.73</v>
      </c>
      <c r="R15">
        <v>115930</v>
      </c>
      <c r="T15">
        <v>20.99</v>
      </c>
    </row>
    <row r="16" spans="1:26" x14ac:dyDescent="0.2">
      <c r="L16" s="21">
        <v>3372</v>
      </c>
      <c r="M16">
        <v>2.98</v>
      </c>
      <c r="R16">
        <v>116020</v>
      </c>
      <c r="T16">
        <v>19.809999999999999</v>
      </c>
    </row>
    <row r="17" spans="12:20" x14ac:dyDescent="0.2">
      <c r="L17" s="21">
        <v>3379.9999999999995</v>
      </c>
      <c r="M17">
        <v>3.02</v>
      </c>
      <c r="R17">
        <v>116080</v>
      </c>
      <c r="T17">
        <v>19.66</v>
      </c>
    </row>
    <row r="18" spans="12:20" x14ac:dyDescent="0.2">
      <c r="L18" s="21">
        <v>3384.0000000000005</v>
      </c>
      <c r="M18">
        <v>3.79</v>
      </c>
      <c r="R18">
        <v>116110</v>
      </c>
      <c r="T18">
        <v>19.53</v>
      </c>
    </row>
    <row r="19" spans="12:20" x14ac:dyDescent="0.2">
      <c r="L19" s="21">
        <v>3408</v>
      </c>
      <c r="M19">
        <v>3.53</v>
      </c>
      <c r="R19">
        <v>116230</v>
      </c>
      <c r="T19">
        <v>22.68</v>
      </c>
    </row>
    <row r="20" spans="12:20" x14ac:dyDescent="0.2">
      <c r="L20" s="21">
        <v>3424</v>
      </c>
      <c r="M20">
        <v>4.28</v>
      </c>
      <c r="R20">
        <v>116420</v>
      </c>
      <c r="T20">
        <v>22.58</v>
      </c>
    </row>
    <row r="21" spans="12:20" x14ac:dyDescent="0.2">
      <c r="L21" s="21">
        <v>3428</v>
      </c>
      <c r="M21">
        <v>3.85</v>
      </c>
      <c r="R21">
        <v>116620</v>
      </c>
      <c r="T21">
        <v>21.78</v>
      </c>
    </row>
    <row r="22" spans="12:20" x14ac:dyDescent="0.2">
      <c r="L22" s="21">
        <v>3432</v>
      </c>
      <c r="M22">
        <v>4.58</v>
      </c>
      <c r="R22">
        <v>116820</v>
      </c>
      <c r="T22">
        <v>22.98</v>
      </c>
    </row>
    <row r="23" spans="12:20" x14ac:dyDescent="0.2">
      <c r="L23" s="21">
        <v>3476</v>
      </c>
      <c r="M23">
        <v>4.0599999999999996</v>
      </c>
      <c r="R23">
        <v>117020</v>
      </c>
      <c r="T23">
        <v>22.53</v>
      </c>
    </row>
    <row r="24" spans="12:20" x14ac:dyDescent="0.2">
      <c r="L24" s="21">
        <v>3479.9999999999995</v>
      </c>
      <c r="M24">
        <v>3.18</v>
      </c>
      <c r="R24">
        <v>117220</v>
      </c>
      <c r="T24">
        <v>22.2</v>
      </c>
    </row>
    <row r="25" spans="12:20" x14ac:dyDescent="0.2">
      <c r="L25" s="21">
        <v>3488.0000000000005</v>
      </c>
      <c r="M25">
        <v>3.31</v>
      </c>
      <c r="R25">
        <v>117460</v>
      </c>
      <c r="T25">
        <v>22.52</v>
      </c>
    </row>
    <row r="26" spans="12:20" x14ac:dyDescent="0.2">
      <c r="L26" s="21">
        <v>3492</v>
      </c>
      <c r="M26">
        <v>4.21</v>
      </c>
      <c r="R26">
        <v>117740</v>
      </c>
      <c r="T26">
        <v>22.48</v>
      </c>
    </row>
    <row r="27" spans="12:20" x14ac:dyDescent="0.2">
      <c r="L27" s="21">
        <v>3496</v>
      </c>
      <c r="M27">
        <v>3.29</v>
      </c>
      <c r="R27">
        <v>118030</v>
      </c>
      <c r="T27">
        <v>22.86</v>
      </c>
    </row>
    <row r="28" spans="12:20" x14ac:dyDescent="0.2">
      <c r="L28" s="21">
        <v>3508</v>
      </c>
      <c r="M28">
        <v>3.29</v>
      </c>
      <c r="R28">
        <v>118350</v>
      </c>
      <c r="T28">
        <v>22.47</v>
      </c>
    </row>
    <row r="29" spans="12:20" x14ac:dyDescent="0.2">
      <c r="L29" s="21">
        <v>3511.9999999999995</v>
      </c>
      <c r="M29">
        <v>2.4700000000000002</v>
      </c>
      <c r="R29">
        <v>118650</v>
      </c>
      <c r="T29">
        <v>22.57</v>
      </c>
    </row>
    <row r="30" spans="12:20" x14ac:dyDescent="0.2">
      <c r="L30" s="21">
        <v>3540</v>
      </c>
      <c r="M30">
        <v>4.28</v>
      </c>
      <c r="R30">
        <v>118940</v>
      </c>
      <c r="T30">
        <v>22.56</v>
      </c>
    </row>
    <row r="31" spans="12:20" x14ac:dyDescent="0.2">
      <c r="L31" s="21"/>
      <c r="R31">
        <v>119230</v>
      </c>
      <c r="T31">
        <v>22.7</v>
      </c>
    </row>
    <row r="32" spans="12:20" x14ac:dyDescent="0.2">
      <c r="R32">
        <v>119540</v>
      </c>
      <c r="T32">
        <v>22.43</v>
      </c>
    </row>
    <row r="33" spans="18:20" x14ac:dyDescent="0.2">
      <c r="R33">
        <v>119880</v>
      </c>
      <c r="T33">
        <v>22.43</v>
      </c>
    </row>
    <row r="34" spans="18:20" x14ac:dyDescent="0.2">
      <c r="R34">
        <v>120250</v>
      </c>
      <c r="T34">
        <v>22.68</v>
      </c>
    </row>
    <row r="35" spans="18:20" x14ac:dyDescent="0.2">
      <c r="R35">
        <v>120620</v>
      </c>
      <c r="T35">
        <v>22.47</v>
      </c>
    </row>
    <row r="36" spans="18:20" x14ac:dyDescent="0.2">
      <c r="R36">
        <v>120970</v>
      </c>
      <c r="T36">
        <v>22.55</v>
      </c>
    </row>
    <row r="37" spans="18:20" x14ac:dyDescent="0.2">
      <c r="R37">
        <v>121370</v>
      </c>
      <c r="T37">
        <v>22.51</v>
      </c>
    </row>
    <row r="38" spans="18:20" x14ac:dyDescent="0.2">
      <c r="R38">
        <v>121810</v>
      </c>
      <c r="T38">
        <v>22.5</v>
      </c>
    </row>
    <row r="39" spans="18:20" x14ac:dyDescent="0.2">
      <c r="R39">
        <v>122240</v>
      </c>
      <c r="T39">
        <v>22.77</v>
      </c>
    </row>
    <row r="40" spans="18:20" x14ac:dyDescent="0.2">
      <c r="R40">
        <v>122670</v>
      </c>
      <c r="T40">
        <v>22.66</v>
      </c>
    </row>
    <row r="41" spans="18:20" x14ac:dyDescent="0.2">
      <c r="R41">
        <v>123080</v>
      </c>
      <c r="T41">
        <v>23.09</v>
      </c>
    </row>
    <row r="42" spans="18:20" x14ac:dyDescent="0.2">
      <c r="R42">
        <v>123490</v>
      </c>
      <c r="T42">
        <v>22.32</v>
      </c>
    </row>
    <row r="43" spans="18:20" x14ac:dyDescent="0.2">
      <c r="R43">
        <v>123880</v>
      </c>
      <c r="T43">
        <v>22.56</v>
      </c>
    </row>
    <row r="44" spans="18:20" x14ac:dyDescent="0.2">
      <c r="R44">
        <v>124270</v>
      </c>
      <c r="T44">
        <v>22.88</v>
      </c>
    </row>
    <row r="45" spans="18:20" x14ac:dyDescent="0.2">
      <c r="R45">
        <v>124650</v>
      </c>
      <c r="T45">
        <v>22.64</v>
      </c>
    </row>
    <row r="46" spans="18:20" x14ac:dyDescent="0.2">
      <c r="R46">
        <v>125660</v>
      </c>
      <c r="T46">
        <v>22.16</v>
      </c>
    </row>
    <row r="47" spans="18:20" x14ac:dyDescent="0.2">
      <c r="R47">
        <v>125990</v>
      </c>
      <c r="T47">
        <v>22.01</v>
      </c>
    </row>
    <row r="48" spans="18:20" x14ac:dyDescent="0.2">
      <c r="R48">
        <v>126360</v>
      </c>
      <c r="T48">
        <v>21.82</v>
      </c>
    </row>
    <row r="49" spans="18:20" x14ac:dyDescent="0.2">
      <c r="R49">
        <v>126640</v>
      </c>
      <c r="T49">
        <v>21.16</v>
      </c>
    </row>
    <row r="50" spans="18:20" x14ac:dyDescent="0.2">
      <c r="R50">
        <v>126850</v>
      </c>
      <c r="T50">
        <v>21.82</v>
      </c>
    </row>
    <row r="51" spans="18:20" x14ac:dyDescent="0.2">
      <c r="R51">
        <v>127040</v>
      </c>
      <c r="T51">
        <v>21.6</v>
      </c>
    </row>
    <row r="52" spans="18:20" x14ac:dyDescent="0.2">
      <c r="R52">
        <v>127210</v>
      </c>
      <c r="T52">
        <v>21.61</v>
      </c>
    </row>
    <row r="53" spans="18:20" x14ac:dyDescent="0.2">
      <c r="R53">
        <v>127360</v>
      </c>
      <c r="T53">
        <v>21.69</v>
      </c>
    </row>
    <row r="54" spans="18:20" x14ac:dyDescent="0.2">
      <c r="R54">
        <v>127490</v>
      </c>
      <c r="T54">
        <v>21.56</v>
      </c>
    </row>
    <row r="55" spans="18:20" x14ac:dyDescent="0.2">
      <c r="R55">
        <v>127610</v>
      </c>
      <c r="T55">
        <v>21.75</v>
      </c>
    </row>
    <row r="56" spans="18:20" x14ac:dyDescent="0.2">
      <c r="R56">
        <v>127740</v>
      </c>
      <c r="T56">
        <v>21.42</v>
      </c>
    </row>
    <row r="57" spans="18:20" x14ac:dyDescent="0.2">
      <c r="R57">
        <v>127870</v>
      </c>
      <c r="T57">
        <v>20.52</v>
      </c>
    </row>
    <row r="58" spans="18:20" x14ac:dyDescent="0.2">
      <c r="R58">
        <v>128000</v>
      </c>
      <c r="T58">
        <v>20.68</v>
      </c>
    </row>
    <row r="59" spans="18:20" x14ac:dyDescent="0.2">
      <c r="R59">
        <v>128130</v>
      </c>
      <c r="T59">
        <v>20.149999999999999</v>
      </c>
    </row>
    <row r="60" spans="18:20" x14ac:dyDescent="0.2">
      <c r="R60">
        <v>128250</v>
      </c>
      <c r="T60">
        <v>20.36</v>
      </c>
    </row>
    <row r="61" spans="18:20" x14ac:dyDescent="0.2">
      <c r="R61">
        <v>128360.00000000001</v>
      </c>
      <c r="T61">
        <v>20.11</v>
      </c>
    </row>
    <row r="62" spans="18:20" x14ac:dyDescent="0.2">
      <c r="R62">
        <v>128460.00000000001</v>
      </c>
      <c r="T62">
        <v>20.28</v>
      </c>
    </row>
    <row r="63" spans="18:20" x14ac:dyDescent="0.2">
      <c r="R63">
        <v>128539.99999999999</v>
      </c>
      <c r="T63">
        <v>19.61</v>
      </c>
    </row>
    <row r="64" spans="18:20" x14ac:dyDescent="0.2">
      <c r="R64">
        <v>128610.00000000001</v>
      </c>
      <c r="T64">
        <v>19.32</v>
      </c>
    </row>
    <row r="65" spans="18:20" x14ac:dyDescent="0.2">
      <c r="R65">
        <v>128680</v>
      </c>
      <c r="T65">
        <v>20.07</v>
      </c>
    </row>
    <row r="66" spans="18:20" x14ac:dyDescent="0.2">
      <c r="R66">
        <v>128750</v>
      </c>
      <c r="T66">
        <v>19.28</v>
      </c>
    </row>
    <row r="67" spans="18:20" x14ac:dyDescent="0.2">
      <c r="R67">
        <v>128820</v>
      </c>
      <c r="T67">
        <v>19.54</v>
      </c>
    </row>
    <row r="68" spans="18:20" x14ac:dyDescent="0.2">
      <c r="R68">
        <v>128889.99999999999</v>
      </c>
      <c r="T68">
        <v>19.28</v>
      </c>
    </row>
    <row r="69" spans="18:20" x14ac:dyDescent="0.2">
      <c r="R69">
        <v>128949.99999999999</v>
      </c>
      <c r="T69">
        <v>19.25</v>
      </c>
    </row>
    <row r="70" spans="18:20" x14ac:dyDescent="0.2">
      <c r="R70">
        <v>129009.99999999999</v>
      </c>
      <c r="T70">
        <v>19.2</v>
      </c>
    </row>
    <row r="71" spans="18:20" x14ac:dyDescent="0.2">
      <c r="R71">
        <v>129070</v>
      </c>
      <c r="T71">
        <v>19.88</v>
      </c>
    </row>
    <row r="72" spans="18:20" x14ac:dyDescent="0.2">
      <c r="R72">
        <v>129120</v>
      </c>
      <c r="T72">
        <v>19.41</v>
      </c>
    </row>
    <row r="73" spans="18:20" x14ac:dyDescent="0.2">
      <c r="R73">
        <v>129169.99999999999</v>
      </c>
      <c r="T73">
        <v>18.579999999999998</v>
      </c>
    </row>
    <row r="74" spans="18:20" x14ac:dyDescent="0.2">
      <c r="R74">
        <v>129220</v>
      </c>
      <c r="T74">
        <v>18.47</v>
      </c>
    </row>
    <row r="75" spans="18:20" x14ac:dyDescent="0.2">
      <c r="R75">
        <v>129259.99999999999</v>
      </c>
      <c r="T75">
        <v>18.010000000000002</v>
      </c>
    </row>
    <row r="76" spans="18:20" x14ac:dyDescent="0.2">
      <c r="R76">
        <v>129310</v>
      </c>
      <c r="T76">
        <v>17.68</v>
      </c>
    </row>
    <row r="77" spans="18:20" x14ac:dyDescent="0.2">
      <c r="R77">
        <v>129360.00000000001</v>
      </c>
      <c r="T77">
        <v>17.11</v>
      </c>
    </row>
    <row r="78" spans="18:20" x14ac:dyDescent="0.2">
      <c r="R78">
        <v>129410</v>
      </c>
      <c r="T78">
        <v>17.420000000000002</v>
      </c>
    </row>
    <row r="79" spans="18:20" x14ac:dyDescent="0.2">
      <c r="R79">
        <v>129460.00000000001</v>
      </c>
      <c r="T79">
        <v>17.57</v>
      </c>
    </row>
    <row r="80" spans="18:20" x14ac:dyDescent="0.2">
      <c r="R80">
        <v>129490.00000000001</v>
      </c>
      <c r="T80">
        <v>17.52</v>
      </c>
    </row>
    <row r="81" spans="18:20" x14ac:dyDescent="0.2">
      <c r="R81">
        <v>129520.00000000001</v>
      </c>
      <c r="T81">
        <v>16.95</v>
      </c>
    </row>
    <row r="82" spans="18:20" x14ac:dyDescent="0.2">
      <c r="R82">
        <v>129550.00000000001</v>
      </c>
      <c r="T82">
        <v>16.920000000000002</v>
      </c>
    </row>
    <row r="83" spans="18:20" x14ac:dyDescent="0.2">
      <c r="R83">
        <v>129580.00000000001</v>
      </c>
      <c r="T83">
        <v>16.600000000000001</v>
      </c>
    </row>
    <row r="84" spans="18:20" x14ac:dyDescent="0.2">
      <c r="R84">
        <v>129639.99999999999</v>
      </c>
      <c r="T84">
        <v>16.850000000000001</v>
      </c>
    </row>
    <row r="85" spans="18:20" x14ac:dyDescent="0.2">
      <c r="R85">
        <v>129699.99999999999</v>
      </c>
      <c r="T85">
        <v>16.739999999999998</v>
      </c>
    </row>
    <row r="86" spans="18:20" x14ac:dyDescent="0.2">
      <c r="R86">
        <v>129750</v>
      </c>
      <c r="T86">
        <v>16.55</v>
      </c>
    </row>
    <row r="87" spans="18:20" x14ac:dyDescent="0.2">
      <c r="R87">
        <v>129800.00000000001</v>
      </c>
      <c r="T87">
        <v>16.760000000000002</v>
      </c>
    </row>
    <row r="88" spans="18:20" x14ac:dyDescent="0.2">
      <c r="R88">
        <v>129860.00000000001</v>
      </c>
      <c r="T88">
        <v>17.100000000000001</v>
      </c>
    </row>
    <row r="89" spans="18:20" x14ac:dyDescent="0.2">
      <c r="R89">
        <v>129919.99999999999</v>
      </c>
      <c r="T89">
        <v>17.36</v>
      </c>
    </row>
    <row r="90" spans="18:20" x14ac:dyDescent="0.2">
      <c r="R90">
        <v>129979.99999999999</v>
      </c>
      <c r="T90">
        <v>17.12</v>
      </c>
    </row>
    <row r="91" spans="18:20" x14ac:dyDescent="0.2">
      <c r="R91">
        <v>130039.99999999999</v>
      </c>
      <c r="T91">
        <v>17.37</v>
      </c>
    </row>
    <row r="92" spans="18:20" x14ac:dyDescent="0.2">
      <c r="R92">
        <v>130100</v>
      </c>
      <c r="T92">
        <v>17.190000000000001</v>
      </c>
    </row>
    <row r="93" spans="18:20" x14ac:dyDescent="0.2">
      <c r="R93">
        <v>130160</v>
      </c>
      <c r="T93">
        <v>16.940000000000001</v>
      </c>
    </row>
    <row r="94" spans="18:20" x14ac:dyDescent="0.2">
      <c r="R94">
        <v>130220</v>
      </c>
      <c r="T94">
        <v>16.940000000000001</v>
      </c>
    </row>
    <row r="95" spans="18:20" x14ac:dyDescent="0.2">
      <c r="R95">
        <v>130280</v>
      </c>
      <c r="T95">
        <v>16.690000000000001</v>
      </c>
    </row>
    <row r="96" spans="18:20" x14ac:dyDescent="0.2">
      <c r="R96">
        <v>130340</v>
      </c>
      <c r="T96">
        <v>16.579999999999998</v>
      </c>
    </row>
    <row r="97" spans="18:20" x14ac:dyDescent="0.2">
      <c r="R97">
        <v>130400</v>
      </c>
      <c r="T97">
        <v>16.72</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A3F79900-58B4-BA45-B586-639957379E91}"/>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202C1-35E5-DB4D-8A23-AA35CAF0A05B}">
  <sheetPr>
    <tabColor rgb="FF0000FF"/>
  </sheetPr>
  <dimension ref="A1:Z200"/>
  <sheetViews>
    <sheetView zoomScale="108" workbookViewId="0">
      <selection activeCell="L26" sqref="L26"/>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6"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6" x14ac:dyDescent="0.2">
      <c r="A2" s="9" t="s">
        <v>65</v>
      </c>
      <c r="B2" s="12">
        <v>-122.2833</v>
      </c>
      <c r="C2" s="12">
        <v>34.533329999999999</v>
      </c>
      <c r="D2" s="10" t="s">
        <v>11</v>
      </c>
      <c r="E2" s="6"/>
      <c r="F2" s="6"/>
      <c r="G2" s="6"/>
      <c r="M2"/>
      <c r="N2">
        <v>7.29</v>
      </c>
      <c r="O2">
        <v>0.46899999999999997</v>
      </c>
      <c r="P2"/>
      <c r="R2">
        <v>115382.3</v>
      </c>
      <c r="T2">
        <v>12.653</v>
      </c>
      <c r="V2" s="6" t="s">
        <v>63</v>
      </c>
      <c r="W2" s="13" t="s">
        <v>64</v>
      </c>
      <c r="Y2" s="6" t="s">
        <v>61</v>
      </c>
      <c r="Z2">
        <v>-3834</v>
      </c>
    </row>
    <row r="3" spans="1:26" x14ac:dyDescent="0.2">
      <c r="E3" s="6"/>
      <c r="F3" s="6"/>
      <c r="G3" s="6"/>
      <c r="M3"/>
      <c r="N3">
        <v>7.38</v>
      </c>
      <c r="O3">
        <v>0.49</v>
      </c>
      <c r="P3"/>
      <c r="R3">
        <v>116697.60000000001</v>
      </c>
      <c r="T3">
        <v>13.276</v>
      </c>
    </row>
    <row r="4" spans="1:26" x14ac:dyDescent="0.2">
      <c r="E4" s="6"/>
      <c r="F4" s="6"/>
      <c r="G4" s="6"/>
      <c r="M4"/>
      <c r="N4">
        <v>7.47</v>
      </c>
      <c r="O4">
        <v>0.47299999999999998</v>
      </c>
      <c r="P4"/>
      <c r="R4">
        <v>118012.8</v>
      </c>
      <c r="T4">
        <v>12.750999999999999</v>
      </c>
    </row>
    <row r="5" spans="1:26" x14ac:dyDescent="0.2">
      <c r="E5" s="6"/>
      <c r="F5" s="6"/>
      <c r="G5" s="6"/>
      <c r="M5"/>
      <c r="N5">
        <v>7.56</v>
      </c>
      <c r="O5">
        <v>0.51900000000000002</v>
      </c>
      <c r="P5"/>
      <c r="R5">
        <v>119328.1</v>
      </c>
      <c r="T5">
        <v>14.114000000000001</v>
      </c>
    </row>
    <row r="6" spans="1:26" x14ac:dyDescent="0.2">
      <c r="M6"/>
      <c r="N6">
        <v>7.65</v>
      </c>
      <c r="O6">
        <v>0.56599999999999995</v>
      </c>
      <c r="P6"/>
      <c r="R6">
        <v>120643.4</v>
      </c>
      <c r="T6">
        <v>15.496</v>
      </c>
    </row>
    <row r="7" spans="1:26" x14ac:dyDescent="0.2">
      <c r="M7"/>
      <c r="N7">
        <v>7.74</v>
      </c>
      <c r="O7">
        <v>0.61499999999999999</v>
      </c>
      <c r="P7"/>
      <c r="R7">
        <v>121958.7</v>
      </c>
      <c r="T7">
        <v>16.943000000000001</v>
      </c>
    </row>
    <row r="8" spans="1:26" x14ac:dyDescent="0.2">
      <c r="M8"/>
      <c r="N8">
        <v>7.83</v>
      </c>
      <c r="O8">
        <v>0.63500000000000001</v>
      </c>
      <c r="P8"/>
      <c r="R8">
        <v>123274</v>
      </c>
      <c r="T8">
        <v>17.536999999999999</v>
      </c>
    </row>
    <row r="9" spans="1:26" x14ac:dyDescent="0.2">
      <c r="M9"/>
      <c r="N9">
        <v>7.92</v>
      </c>
      <c r="O9">
        <v>0.629</v>
      </c>
      <c r="P9"/>
      <c r="R9">
        <v>123813.4</v>
      </c>
      <c r="T9">
        <v>17.34</v>
      </c>
    </row>
    <row r="10" spans="1:26" x14ac:dyDescent="0.2">
      <c r="M10"/>
      <c r="N10">
        <v>8.01</v>
      </c>
      <c r="O10">
        <v>0.61399999999999999</v>
      </c>
      <c r="P10"/>
      <c r="R10">
        <v>124352.9</v>
      </c>
      <c r="T10">
        <v>16.919</v>
      </c>
    </row>
    <row r="11" spans="1:26" x14ac:dyDescent="0.2">
      <c r="M11"/>
      <c r="N11">
        <v>8.1</v>
      </c>
      <c r="O11">
        <v>0.54500000000000004</v>
      </c>
      <c r="P11"/>
      <c r="R11">
        <v>124892.3</v>
      </c>
      <c r="T11">
        <v>14.893000000000001</v>
      </c>
    </row>
    <row r="12" spans="1:26" x14ac:dyDescent="0.2">
      <c r="M12"/>
      <c r="N12">
        <v>8.19</v>
      </c>
      <c r="O12">
        <v>0.51500000000000001</v>
      </c>
      <c r="P12"/>
      <c r="R12">
        <v>125431.7</v>
      </c>
      <c r="T12">
        <v>14.013</v>
      </c>
    </row>
    <row r="13" spans="1:26" x14ac:dyDescent="0.2">
      <c r="M13"/>
      <c r="N13">
        <v>8.2799999999999994</v>
      </c>
      <c r="O13">
        <v>0.48599999999999999</v>
      </c>
      <c r="P13"/>
      <c r="R13">
        <v>125971.1</v>
      </c>
      <c r="T13">
        <v>13.138999999999999</v>
      </c>
    </row>
    <row r="14" spans="1:26" x14ac:dyDescent="0.2">
      <c r="M14"/>
      <c r="N14">
        <v>8.3699999999999992</v>
      </c>
      <c r="O14">
        <v>0.46800000000000003</v>
      </c>
      <c r="P14"/>
      <c r="R14">
        <v>126510.6</v>
      </c>
      <c r="T14">
        <v>12.632</v>
      </c>
    </row>
    <row r="15" spans="1:26" x14ac:dyDescent="0.2">
      <c r="M15"/>
      <c r="N15">
        <v>8.4600000000000009</v>
      </c>
      <c r="O15">
        <v>0.46899999999999997</v>
      </c>
      <c r="R15">
        <v>127050</v>
      </c>
      <c r="T15">
        <v>12.662000000000001</v>
      </c>
    </row>
    <row r="16" spans="1:26" x14ac:dyDescent="0.2">
      <c r="M16"/>
      <c r="N16">
        <v>8.5500000000000007</v>
      </c>
      <c r="O16">
        <v>0.51500000000000001</v>
      </c>
      <c r="R16">
        <v>128775.2</v>
      </c>
      <c r="T16">
        <v>13.997999999999999</v>
      </c>
    </row>
    <row r="17" spans="13:20" x14ac:dyDescent="0.2">
      <c r="M17"/>
      <c r="N17">
        <v>8.64</v>
      </c>
      <c r="O17">
        <v>0.498</v>
      </c>
      <c r="R17">
        <v>130500.3</v>
      </c>
      <c r="T17">
        <v>13.505000000000001</v>
      </c>
    </row>
    <row r="18" spans="13:20" x14ac:dyDescent="0.2">
      <c r="M18"/>
      <c r="N18">
        <v>8.73</v>
      </c>
      <c r="O18">
        <v>0.47799999999999998</v>
      </c>
      <c r="R18">
        <v>132225.5</v>
      </c>
      <c r="T18">
        <v>12.925000000000001</v>
      </c>
    </row>
    <row r="19" spans="13:20" x14ac:dyDescent="0.2">
      <c r="M19"/>
      <c r="N19">
        <v>8.82</v>
      </c>
      <c r="O19">
        <v>0.441</v>
      </c>
      <c r="R19">
        <v>133950.6</v>
      </c>
      <c r="T19">
        <v>11.813000000000001</v>
      </c>
    </row>
    <row r="20" spans="13:20" x14ac:dyDescent="0.2">
      <c r="M20"/>
      <c r="N20">
        <v>8.91</v>
      </c>
      <c r="O20">
        <v>0.45400000000000001</v>
      </c>
      <c r="R20">
        <v>134761.9</v>
      </c>
      <c r="T20">
        <v>12.196</v>
      </c>
    </row>
    <row r="21" spans="13:20" x14ac:dyDescent="0.2">
      <c r="M21"/>
      <c r="N21">
        <v>9</v>
      </c>
      <c r="O21">
        <v>0.42199999999999999</v>
      </c>
      <c r="R21">
        <v>135573.20000000001</v>
      </c>
      <c r="T21">
        <v>11.263</v>
      </c>
    </row>
    <row r="22" spans="13:20" x14ac:dyDescent="0.2">
      <c r="M22"/>
      <c r="N22">
        <v>9.1</v>
      </c>
      <c r="O22">
        <v>0.38300000000000001</v>
      </c>
      <c r="R22">
        <v>136474.70000000001</v>
      </c>
      <c r="T22">
        <v>10.114000000000001</v>
      </c>
    </row>
    <row r="23" spans="13:20" x14ac:dyDescent="0.2">
      <c r="M23"/>
      <c r="R23"/>
      <c r="T23"/>
    </row>
    <row r="24" spans="13:20" x14ac:dyDescent="0.2">
      <c r="M24"/>
      <c r="R24"/>
      <c r="T24"/>
    </row>
    <row r="25" spans="13:20" x14ac:dyDescent="0.2">
      <c r="M25"/>
      <c r="R25"/>
      <c r="T25"/>
    </row>
    <row r="26" spans="13:20" x14ac:dyDescent="0.2">
      <c r="M26"/>
      <c r="R26"/>
      <c r="T26"/>
    </row>
    <row r="27" spans="13:20" x14ac:dyDescent="0.2">
      <c r="M27"/>
      <c r="R27"/>
      <c r="T27"/>
    </row>
    <row r="28" spans="13:20" x14ac:dyDescent="0.2">
      <c r="M28"/>
      <c r="R28"/>
      <c r="T28"/>
    </row>
    <row r="29" spans="13:20" x14ac:dyDescent="0.2">
      <c r="M29"/>
      <c r="R29"/>
      <c r="T29"/>
    </row>
    <row r="30" spans="13:20" x14ac:dyDescent="0.2">
      <c r="M30"/>
      <c r="R30"/>
      <c r="T30"/>
    </row>
    <row r="31" spans="13:20" x14ac:dyDescent="0.2">
      <c r="R31"/>
      <c r="T31"/>
    </row>
    <row r="32" spans="13:20" x14ac:dyDescent="0.2">
      <c r="R32"/>
      <c r="T32"/>
    </row>
    <row r="33" spans="18:20" x14ac:dyDescent="0.2">
      <c r="R33"/>
      <c r="T33"/>
    </row>
    <row r="34" spans="18:20" x14ac:dyDescent="0.2">
      <c r="R34"/>
      <c r="T34"/>
    </row>
    <row r="35" spans="18:20" x14ac:dyDescent="0.2">
      <c r="R35"/>
      <c r="T35"/>
    </row>
    <row r="36" spans="18:20" x14ac:dyDescent="0.2">
      <c r="R36"/>
      <c r="T36"/>
    </row>
    <row r="37" spans="18:20" x14ac:dyDescent="0.2">
      <c r="R37"/>
      <c r="T37"/>
    </row>
    <row r="38" spans="18:20" x14ac:dyDescent="0.2">
      <c r="R38"/>
      <c r="T38"/>
    </row>
    <row r="39" spans="18:20" x14ac:dyDescent="0.2">
      <c r="R39"/>
      <c r="T39"/>
    </row>
    <row r="40" spans="18:20" x14ac:dyDescent="0.2">
      <c r="R40"/>
      <c r="T40"/>
    </row>
    <row r="41" spans="18:20" x14ac:dyDescent="0.2">
      <c r="R41"/>
      <c r="T41"/>
    </row>
    <row r="42" spans="18:20" x14ac:dyDescent="0.2">
      <c r="R42"/>
      <c r="T42"/>
    </row>
    <row r="43" spans="18:20" x14ac:dyDescent="0.2">
      <c r="R43"/>
      <c r="T43"/>
    </row>
    <row r="44" spans="18:20" x14ac:dyDescent="0.2">
      <c r="R44"/>
      <c r="T44"/>
    </row>
    <row r="45" spans="18:20" x14ac:dyDescent="0.2">
      <c r="R45"/>
      <c r="T45"/>
    </row>
    <row r="46" spans="18:20" x14ac:dyDescent="0.2">
      <c r="R46"/>
      <c r="T46"/>
    </row>
    <row r="47" spans="18:20" x14ac:dyDescent="0.2">
      <c r="R47"/>
      <c r="T47"/>
    </row>
    <row r="48" spans="18: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E449D-F904-A54C-A2F4-9037C4D916BF}">
  <sheetPr>
    <tabColor rgb="FF0000FF"/>
  </sheetPr>
  <dimension ref="A1:Z200"/>
  <sheetViews>
    <sheetView zoomScale="108" workbookViewId="0">
      <selection activeCell="Y2" sqref="Y2"/>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6"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6" x14ac:dyDescent="0.2">
      <c r="A2" s="9" t="s">
        <v>60</v>
      </c>
      <c r="B2" s="12">
        <v>-118.9</v>
      </c>
      <c r="C2" s="12">
        <v>-32.799999999999997</v>
      </c>
      <c r="D2" s="10" t="s">
        <v>11</v>
      </c>
      <c r="E2" s="6"/>
      <c r="F2" s="6"/>
      <c r="G2" s="6"/>
      <c r="M2"/>
      <c r="N2">
        <v>13</v>
      </c>
      <c r="O2">
        <v>0.59199999999999997</v>
      </c>
      <c r="P2"/>
      <c r="R2">
        <v>116675</v>
      </c>
      <c r="T2">
        <v>16.253</v>
      </c>
      <c r="V2" s="6" t="s">
        <v>63</v>
      </c>
      <c r="W2" s="13" t="s">
        <v>62</v>
      </c>
      <c r="Y2" s="6" t="s">
        <v>61</v>
      </c>
      <c r="Z2">
        <v>-1165</v>
      </c>
    </row>
    <row r="3" spans="1:26" x14ac:dyDescent="0.2">
      <c r="E3" s="6"/>
      <c r="F3" s="6"/>
      <c r="G3" s="6"/>
      <c r="M3"/>
      <c r="N3">
        <v>13.2</v>
      </c>
      <c r="O3">
        <v>0.64600000000000002</v>
      </c>
      <c r="P3"/>
      <c r="R3">
        <v>119290.6</v>
      </c>
      <c r="T3">
        <v>17.864999999999998</v>
      </c>
    </row>
    <row r="4" spans="1:26" x14ac:dyDescent="0.2">
      <c r="E4" s="6"/>
      <c r="F4" s="6"/>
      <c r="G4" s="6"/>
      <c r="M4"/>
      <c r="N4">
        <v>13.81</v>
      </c>
      <c r="O4">
        <v>0.59599999999999997</v>
      </c>
      <c r="P4"/>
      <c r="R4">
        <v>124094</v>
      </c>
      <c r="T4">
        <v>16.390999999999998</v>
      </c>
    </row>
    <row r="5" spans="1:26" x14ac:dyDescent="0.2">
      <c r="E5" s="6"/>
      <c r="F5" s="6"/>
      <c r="G5" s="6"/>
      <c r="M5"/>
      <c r="N5">
        <v>13.4</v>
      </c>
      <c r="O5">
        <v>0.68500000000000005</v>
      </c>
      <c r="P5"/>
      <c r="R5">
        <v>121906.1</v>
      </c>
      <c r="T5">
        <v>19.007000000000001</v>
      </c>
    </row>
    <row r="6" spans="1:26" x14ac:dyDescent="0.2">
      <c r="M6"/>
      <c r="N6">
        <v>14.01</v>
      </c>
      <c r="O6">
        <v>0.57799999999999996</v>
      </c>
      <c r="P6"/>
      <c r="R6">
        <v>125007.3</v>
      </c>
      <c r="T6">
        <v>15.855</v>
      </c>
    </row>
    <row r="7" spans="1:26" x14ac:dyDescent="0.2">
      <c r="M7"/>
      <c r="N7">
        <v>13.62</v>
      </c>
      <c r="O7">
        <v>0.67300000000000004</v>
      </c>
      <c r="P7"/>
      <c r="R7">
        <v>123274</v>
      </c>
      <c r="T7">
        <v>18.648</v>
      </c>
    </row>
    <row r="8" spans="1:26" x14ac:dyDescent="0.2">
      <c r="M8"/>
      <c r="N8">
        <v>14.21</v>
      </c>
      <c r="O8">
        <v>0.69299999999999995</v>
      </c>
      <c r="P8"/>
      <c r="R8">
        <v>127050</v>
      </c>
      <c r="T8">
        <v>19.236000000000001</v>
      </c>
    </row>
    <row r="9" spans="1:26" x14ac:dyDescent="0.2">
      <c r="M9"/>
      <c r="N9">
        <v>13.78</v>
      </c>
      <c r="O9">
        <v>0.67700000000000005</v>
      </c>
      <c r="P9"/>
      <c r="R9">
        <v>123957</v>
      </c>
      <c r="T9">
        <v>18.766999999999999</v>
      </c>
    </row>
    <row r="10" spans="1:26" x14ac:dyDescent="0.2">
      <c r="M10"/>
      <c r="N10">
        <v>14.41</v>
      </c>
      <c r="O10">
        <v>0.56499999999999995</v>
      </c>
      <c r="P10"/>
      <c r="R10">
        <v>129375</v>
      </c>
      <c r="T10">
        <v>15.47</v>
      </c>
    </row>
    <row r="11" spans="1:26" x14ac:dyDescent="0.2">
      <c r="M11"/>
      <c r="N11">
        <v>14.61</v>
      </c>
      <c r="O11">
        <v>0.57999999999999996</v>
      </c>
      <c r="P11"/>
      <c r="R11">
        <v>130705.4</v>
      </c>
      <c r="T11">
        <v>15.911</v>
      </c>
    </row>
    <row r="12" spans="1:26" x14ac:dyDescent="0.2">
      <c r="M12"/>
      <c r="N12">
        <v>14.81</v>
      </c>
      <c r="O12">
        <v>0.57099999999999995</v>
      </c>
      <c r="P12"/>
      <c r="R12">
        <v>131787.1</v>
      </c>
      <c r="T12">
        <v>15.645</v>
      </c>
    </row>
    <row r="13" spans="1:26" x14ac:dyDescent="0.2">
      <c r="M13"/>
      <c r="N13">
        <v>15.01</v>
      </c>
      <c r="O13">
        <v>0.57999999999999996</v>
      </c>
      <c r="P13"/>
      <c r="R13">
        <v>132868.9</v>
      </c>
      <c r="T13">
        <v>15.903</v>
      </c>
    </row>
    <row r="14" spans="1:26" x14ac:dyDescent="0.2">
      <c r="M14"/>
      <c r="N14">
        <v>15.21</v>
      </c>
      <c r="O14">
        <v>0.60899999999999999</v>
      </c>
      <c r="P14"/>
      <c r="R14">
        <v>133950.6</v>
      </c>
      <c r="T14">
        <v>16.77</v>
      </c>
    </row>
    <row r="15" spans="1:26" x14ac:dyDescent="0.2">
      <c r="M15"/>
      <c r="N15">
        <v>15.31</v>
      </c>
      <c r="O15">
        <v>0.56299999999999994</v>
      </c>
      <c r="R15">
        <v>134491.5</v>
      </c>
      <c r="T15">
        <v>15.417</v>
      </c>
    </row>
    <row r="16" spans="1:26" x14ac:dyDescent="0.2">
      <c r="M16"/>
      <c r="N16">
        <v>15.51</v>
      </c>
      <c r="O16">
        <v>0.495</v>
      </c>
      <c r="R16">
        <v>135573.20000000001</v>
      </c>
      <c r="T16">
        <v>13.406000000000001</v>
      </c>
    </row>
    <row r="17" spans="13:20" x14ac:dyDescent="0.2">
      <c r="M17"/>
      <c r="N17">
        <v>15.71</v>
      </c>
      <c r="O17">
        <v>0.501</v>
      </c>
      <c r="R17">
        <v>136655</v>
      </c>
      <c r="T17">
        <v>13.595000000000001</v>
      </c>
    </row>
    <row r="18" spans="13:20" x14ac:dyDescent="0.2">
      <c r="M18"/>
      <c r="N18">
        <v>15.91</v>
      </c>
      <c r="O18">
        <v>0.49099999999999999</v>
      </c>
      <c r="R18">
        <v>137736.70000000001</v>
      </c>
      <c r="T18">
        <v>13.294</v>
      </c>
    </row>
    <row r="19" spans="13:20" x14ac:dyDescent="0.2">
      <c r="M19"/>
      <c r="N19">
        <v>16.11</v>
      </c>
      <c r="O19">
        <v>0.46400000000000002</v>
      </c>
      <c r="R19">
        <v>138818.4</v>
      </c>
      <c r="T19">
        <v>12.509</v>
      </c>
    </row>
    <row r="20" spans="13:20" x14ac:dyDescent="0.2">
      <c r="M20"/>
      <c r="N20">
        <v>16.309999999999999</v>
      </c>
      <c r="O20">
        <v>0.47099999999999997</v>
      </c>
      <c r="R20">
        <v>139900.20000000001</v>
      </c>
      <c r="T20">
        <v>12.7</v>
      </c>
    </row>
    <row r="21" spans="13:20" x14ac:dyDescent="0.2">
      <c r="M21"/>
      <c r="R21"/>
      <c r="T21"/>
    </row>
    <row r="22" spans="13:20" x14ac:dyDescent="0.2">
      <c r="M22"/>
      <c r="R22"/>
      <c r="T22"/>
    </row>
    <row r="23" spans="13:20" x14ac:dyDescent="0.2">
      <c r="M23"/>
      <c r="R23"/>
      <c r="T23"/>
    </row>
    <row r="24" spans="13:20" x14ac:dyDescent="0.2">
      <c r="M24"/>
      <c r="R24"/>
      <c r="T24"/>
    </row>
    <row r="25" spans="13:20" x14ac:dyDescent="0.2">
      <c r="M25"/>
      <c r="R25"/>
      <c r="T25"/>
    </row>
    <row r="26" spans="13:20" x14ac:dyDescent="0.2">
      <c r="M26"/>
      <c r="R26"/>
      <c r="T26"/>
    </row>
    <row r="27" spans="13:20" x14ac:dyDescent="0.2">
      <c r="M27"/>
      <c r="R27"/>
      <c r="T27"/>
    </row>
    <row r="28" spans="13:20" x14ac:dyDescent="0.2">
      <c r="M28"/>
      <c r="R28"/>
      <c r="T28"/>
    </row>
    <row r="29" spans="13:20" x14ac:dyDescent="0.2">
      <c r="M29"/>
      <c r="R29"/>
      <c r="T29"/>
    </row>
    <row r="30" spans="13:20" x14ac:dyDescent="0.2">
      <c r="M30"/>
      <c r="R30"/>
      <c r="T30"/>
    </row>
    <row r="31" spans="13:20" x14ac:dyDescent="0.2">
      <c r="R31"/>
      <c r="T31"/>
    </row>
    <row r="32" spans="13:20" x14ac:dyDescent="0.2">
      <c r="R32"/>
      <c r="T32"/>
    </row>
    <row r="33" spans="18:20" x14ac:dyDescent="0.2">
      <c r="R33"/>
      <c r="T33"/>
    </row>
    <row r="34" spans="18:20" x14ac:dyDescent="0.2">
      <c r="R34"/>
      <c r="T34"/>
    </row>
    <row r="35" spans="18:20" x14ac:dyDescent="0.2">
      <c r="R35"/>
      <c r="T35"/>
    </row>
    <row r="36" spans="18:20" x14ac:dyDescent="0.2">
      <c r="R36"/>
      <c r="T36"/>
    </row>
    <row r="37" spans="18:20" x14ac:dyDescent="0.2">
      <c r="R37"/>
      <c r="T37"/>
    </row>
    <row r="38" spans="18:20" x14ac:dyDescent="0.2">
      <c r="R38"/>
      <c r="T38"/>
    </row>
    <row r="39" spans="18:20" x14ac:dyDescent="0.2">
      <c r="R39"/>
      <c r="T39"/>
    </row>
    <row r="40" spans="18:20" x14ac:dyDescent="0.2">
      <c r="R40"/>
      <c r="T40"/>
    </row>
    <row r="41" spans="18:20" x14ac:dyDescent="0.2">
      <c r="R41"/>
      <c r="T41"/>
    </row>
    <row r="42" spans="18:20" x14ac:dyDescent="0.2">
      <c r="R42"/>
      <c r="T42"/>
    </row>
    <row r="43" spans="18:20" x14ac:dyDescent="0.2">
      <c r="R43"/>
      <c r="T43"/>
    </row>
    <row r="44" spans="18:20" x14ac:dyDescent="0.2">
      <c r="R44"/>
      <c r="T44"/>
    </row>
    <row r="45" spans="18:20" x14ac:dyDescent="0.2">
      <c r="R45"/>
      <c r="T45"/>
    </row>
    <row r="46" spans="18:20" x14ac:dyDescent="0.2">
      <c r="R46"/>
      <c r="T46"/>
    </row>
    <row r="47" spans="18:20" x14ac:dyDescent="0.2">
      <c r="R47"/>
      <c r="T47"/>
    </row>
    <row r="48" spans="18: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599E00E6-8E5D-5447-8CFB-0D0F46A45F44}"/>
  </hyperlinks>
  <pageMargins left="0.75" right="0.75" top="1" bottom="1" header="0.5" footer="0.5"/>
  <pageSetup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62DE3-D120-7D4D-9F10-9C3F0DB2DCBD}">
  <sheetPr>
    <tabColor rgb="FF0000FF"/>
  </sheetPr>
  <dimension ref="A1:AB200"/>
  <sheetViews>
    <sheetView tabSelected="1" topLeftCell="C1" zoomScale="67" workbookViewId="0">
      <selection activeCell="V24" sqref="V24"/>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66</v>
      </c>
      <c r="B2" s="12">
        <v>-78.73</v>
      </c>
      <c r="C2" s="12">
        <v>12.75</v>
      </c>
      <c r="D2" s="10" t="s">
        <v>20</v>
      </c>
      <c r="E2" s="6"/>
      <c r="F2" s="6"/>
      <c r="G2" s="6"/>
      <c r="M2">
        <v>-1.7</v>
      </c>
      <c r="N2">
        <v>481</v>
      </c>
      <c r="O2">
        <v>3.722</v>
      </c>
      <c r="P2"/>
      <c r="R2">
        <v>115880</v>
      </c>
      <c r="T2">
        <v>27.1</v>
      </c>
      <c r="V2" s="6" t="s">
        <v>67</v>
      </c>
      <c r="W2" s="13" t="s">
        <v>68</v>
      </c>
      <c r="Y2" s="6" t="s">
        <v>69</v>
      </c>
      <c r="Z2">
        <v>-2827</v>
      </c>
      <c r="AB2"/>
    </row>
    <row r="3" spans="1:28" x14ac:dyDescent="0.2">
      <c r="E3" s="6"/>
      <c r="F3" s="6"/>
      <c r="G3" s="6"/>
      <c r="M3">
        <v>-1.85</v>
      </c>
      <c r="N3">
        <v>488</v>
      </c>
      <c r="O3">
        <v>3.931</v>
      </c>
      <c r="P3"/>
      <c r="R3">
        <v>117590</v>
      </c>
      <c r="T3">
        <v>27.7</v>
      </c>
      <c r="AB3"/>
    </row>
    <row r="4" spans="1:28" x14ac:dyDescent="0.2">
      <c r="E4" s="6"/>
      <c r="F4" s="6"/>
      <c r="G4" s="6"/>
      <c r="M4">
        <v>-1.96</v>
      </c>
      <c r="N4">
        <v>493</v>
      </c>
      <c r="O4">
        <v>3.746</v>
      </c>
      <c r="P4"/>
      <c r="R4">
        <v>118820</v>
      </c>
      <c r="T4">
        <v>27.1</v>
      </c>
      <c r="AB4"/>
    </row>
    <row r="5" spans="1:28" x14ac:dyDescent="0.2">
      <c r="E5" s="6"/>
      <c r="F5" s="6"/>
      <c r="G5" s="6"/>
      <c r="M5">
        <v>-1.88</v>
      </c>
      <c r="N5">
        <v>498</v>
      </c>
      <c r="O5">
        <v>4.0529999999999999</v>
      </c>
      <c r="P5"/>
      <c r="R5">
        <v>120040</v>
      </c>
      <c r="T5">
        <v>28</v>
      </c>
      <c r="AB5"/>
    </row>
    <row r="6" spans="1:28" x14ac:dyDescent="0.2">
      <c r="M6">
        <v>-1.74</v>
      </c>
      <c r="N6">
        <v>503</v>
      </c>
      <c r="O6">
        <v>4.1070000000000002</v>
      </c>
      <c r="P6"/>
      <c r="R6">
        <v>121440</v>
      </c>
      <c r="T6">
        <v>28.2</v>
      </c>
      <c r="AB6"/>
    </row>
    <row r="7" spans="1:28" x14ac:dyDescent="0.2">
      <c r="M7">
        <v>-2.0699999999999998</v>
      </c>
      <c r="N7">
        <v>506</v>
      </c>
      <c r="O7">
        <v>4.4530000000000003</v>
      </c>
      <c r="P7"/>
      <c r="R7">
        <v>123890</v>
      </c>
      <c r="T7">
        <v>29.1</v>
      </c>
      <c r="AB7"/>
    </row>
    <row r="8" spans="1:28" x14ac:dyDescent="0.2">
      <c r="M8">
        <v>-1.83</v>
      </c>
      <c r="N8">
        <v>511</v>
      </c>
      <c r="O8">
        <v>4.3109999999999999</v>
      </c>
      <c r="P8"/>
      <c r="R8">
        <v>126100</v>
      </c>
      <c r="T8">
        <v>28.7</v>
      </c>
      <c r="AB8"/>
    </row>
    <row r="9" spans="1:28" x14ac:dyDescent="0.2">
      <c r="M9">
        <v>-1.68</v>
      </c>
      <c r="N9">
        <v>517</v>
      </c>
      <c r="O9">
        <v>4.6550000000000002</v>
      </c>
      <c r="P9"/>
      <c r="R9">
        <v>128600</v>
      </c>
      <c r="T9">
        <v>29.5</v>
      </c>
      <c r="AB9"/>
    </row>
    <row r="10" spans="1:28" x14ac:dyDescent="0.2">
      <c r="M10">
        <v>-1.76</v>
      </c>
      <c r="N10">
        <v>522</v>
      </c>
      <c r="O10">
        <v>4.516</v>
      </c>
      <c r="P10"/>
      <c r="R10">
        <v>130750</v>
      </c>
      <c r="T10">
        <v>29.2</v>
      </c>
      <c r="AB10"/>
    </row>
    <row r="11" spans="1:28" x14ac:dyDescent="0.2">
      <c r="M11">
        <v>-1.51</v>
      </c>
      <c r="N11">
        <v>526</v>
      </c>
      <c r="O11">
        <v>4.26</v>
      </c>
      <c r="P11"/>
      <c r="R11">
        <v>131800</v>
      </c>
      <c r="T11">
        <v>28.6</v>
      </c>
      <c r="AB11"/>
    </row>
    <row r="12" spans="1:28" x14ac:dyDescent="0.2">
      <c r="M12">
        <v>-0.89</v>
      </c>
      <c r="N12">
        <v>531</v>
      </c>
      <c r="O12">
        <v>3.88</v>
      </c>
      <c r="P12"/>
      <c r="R12">
        <v>132800</v>
      </c>
      <c r="T12">
        <v>27.5</v>
      </c>
      <c r="AB12"/>
    </row>
    <row r="13" spans="1:28" x14ac:dyDescent="0.2">
      <c r="M13">
        <v>-0.55000000000000004</v>
      </c>
      <c r="N13">
        <v>537</v>
      </c>
      <c r="O13">
        <v>4.01</v>
      </c>
      <c r="P13"/>
      <c r="R13">
        <v>133200</v>
      </c>
      <c r="T13">
        <v>27.9</v>
      </c>
      <c r="AB13"/>
    </row>
    <row r="14" spans="1:28" x14ac:dyDescent="0.2">
      <c r="M14">
        <v>-0.54</v>
      </c>
      <c r="N14">
        <v>542</v>
      </c>
      <c r="O14">
        <v>3.81</v>
      </c>
      <c r="P14"/>
      <c r="R14">
        <v>135100</v>
      </c>
      <c r="T14">
        <v>27.3</v>
      </c>
      <c r="AB14"/>
    </row>
    <row r="15" spans="1:28" x14ac:dyDescent="0.2">
      <c r="M15">
        <v>-0.24</v>
      </c>
      <c r="N15">
        <v>547</v>
      </c>
      <c r="O15">
        <v>3.32</v>
      </c>
      <c r="R15">
        <v>135900</v>
      </c>
      <c r="T15">
        <v>25.8</v>
      </c>
      <c r="AB15"/>
    </row>
    <row r="16" spans="1:28" x14ac:dyDescent="0.2">
      <c r="M16"/>
      <c r="N16"/>
      <c r="O16"/>
      <c r="R16"/>
      <c r="T16"/>
    </row>
    <row r="17" spans="13:20" x14ac:dyDescent="0.2">
      <c r="M17"/>
      <c r="N17"/>
      <c r="O17"/>
      <c r="R17"/>
      <c r="T17"/>
    </row>
    <row r="18" spans="13:20" x14ac:dyDescent="0.2">
      <c r="M18"/>
      <c r="N18"/>
      <c r="O18"/>
      <c r="R18"/>
      <c r="T18"/>
    </row>
    <row r="19" spans="13:20" x14ac:dyDescent="0.2">
      <c r="M19"/>
      <c r="N19"/>
      <c r="O19"/>
      <c r="R19"/>
      <c r="T19"/>
    </row>
    <row r="20" spans="13:20" x14ac:dyDescent="0.2">
      <c r="M20"/>
      <c r="N20"/>
      <c r="O20"/>
      <c r="R20"/>
      <c r="T20"/>
    </row>
    <row r="21" spans="13:20" x14ac:dyDescent="0.2">
      <c r="M21"/>
      <c r="R21"/>
      <c r="T21"/>
    </row>
    <row r="22" spans="13:20" x14ac:dyDescent="0.2">
      <c r="M22"/>
      <c r="R22"/>
      <c r="T22"/>
    </row>
    <row r="23" spans="13:20" x14ac:dyDescent="0.2">
      <c r="M23"/>
      <c r="R23"/>
      <c r="T23"/>
    </row>
    <row r="24" spans="13:20" x14ac:dyDescent="0.2">
      <c r="M24"/>
      <c r="R24"/>
      <c r="T24"/>
    </row>
    <row r="25" spans="13:20" x14ac:dyDescent="0.2">
      <c r="M25"/>
      <c r="R25"/>
      <c r="T25"/>
    </row>
    <row r="26" spans="13:20" x14ac:dyDescent="0.2">
      <c r="M26"/>
      <c r="R26"/>
      <c r="T26"/>
    </row>
    <row r="27" spans="13:20" x14ac:dyDescent="0.2">
      <c r="M27"/>
      <c r="R27"/>
      <c r="T27"/>
    </row>
    <row r="28" spans="13:20" x14ac:dyDescent="0.2">
      <c r="M28"/>
      <c r="R28"/>
      <c r="T28"/>
    </row>
    <row r="29" spans="13:20" x14ac:dyDescent="0.2">
      <c r="M29"/>
      <c r="R29"/>
      <c r="T29"/>
    </row>
    <row r="30" spans="13:20" x14ac:dyDescent="0.2">
      <c r="M30"/>
      <c r="R30"/>
      <c r="T30"/>
    </row>
    <row r="31" spans="13:20" x14ac:dyDescent="0.2">
      <c r="R31"/>
      <c r="T31"/>
    </row>
    <row r="32" spans="13:20" x14ac:dyDescent="0.2">
      <c r="R32"/>
      <c r="T32"/>
    </row>
    <row r="33" spans="18:20" x14ac:dyDescent="0.2">
      <c r="R33"/>
      <c r="T33"/>
    </row>
    <row r="34" spans="18:20" x14ac:dyDescent="0.2">
      <c r="R34"/>
      <c r="T34"/>
    </row>
    <row r="35" spans="18:20" x14ac:dyDescent="0.2">
      <c r="R35"/>
      <c r="T35"/>
    </row>
    <row r="36" spans="18:20" x14ac:dyDescent="0.2">
      <c r="R36"/>
      <c r="T36"/>
    </row>
    <row r="37" spans="18:20" x14ac:dyDescent="0.2">
      <c r="R37"/>
      <c r="T37"/>
    </row>
    <row r="38" spans="18:20" x14ac:dyDescent="0.2">
      <c r="R38"/>
      <c r="T38"/>
    </row>
    <row r="39" spans="18:20" x14ac:dyDescent="0.2">
      <c r="R39"/>
      <c r="T39"/>
    </row>
    <row r="40" spans="18:20" x14ac:dyDescent="0.2">
      <c r="R40"/>
      <c r="T40"/>
    </row>
    <row r="41" spans="18:20" x14ac:dyDescent="0.2">
      <c r="R41"/>
      <c r="T41"/>
    </row>
    <row r="42" spans="18:20" x14ac:dyDescent="0.2">
      <c r="R42"/>
      <c r="T42"/>
    </row>
    <row r="43" spans="18:20" x14ac:dyDescent="0.2">
      <c r="R43"/>
      <c r="T43"/>
    </row>
    <row r="44" spans="18:20" x14ac:dyDescent="0.2">
      <c r="R44"/>
      <c r="T44"/>
    </row>
    <row r="45" spans="18:20" x14ac:dyDescent="0.2">
      <c r="R45"/>
      <c r="T45"/>
    </row>
    <row r="46" spans="18:20" x14ac:dyDescent="0.2">
      <c r="R46"/>
      <c r="T46"/>
    </row>
    <row r="47" spans="18:20" x14ac:dyDescent="0.2">
      <c r="R47"/>
      <c r="T47"/>
    </row>
    <row r="48" spans="18: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9FAA21BA-0E49-1246-BB74-9932480ED064}"/>
  </hyperlinks>
  <pageMargins left="0.75" right="0.75" top="1" bottom="1" header="0.5" footer="0.5"/>
  <pageSetup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DBC3B-6B29-5843-8C74-7E5F31A43C77}">
  <sheetPr>
    <tabColor rgb="FF0000FF"/>
  </sheetPr>
  <dimension ref="A1:AB200"/>
  <sheetViews>
    <sheetView topLeftCell="D1" zoomScale="93" workbookViewId="0">
      <selection activeCell="W2" sqref="W2"/>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70</v>
      </c>
      <c r="B2" s="12">
        <v>179.3</v>
      </c>
      <c r="C2" s="12">
        <v>-44.32</v>
      </c>
      <c r="D2" s="10" t="s">
        <v>11</v>
      </c>
      <c r="E2" s="6"/>
      <c r="F2" s="6"/>
      <c r="G2" s="6"/>
      <c r="M2"/>
      <c r="N2" s="23">
        <v>246</v>
      </c>
      <c r="O2" s="24">
        <v>0.52409759128531497</v>
      </c>
      <c r="P2"/>
      <c r="R2" s="22">
        <v>115857.5</v>
      </c>
      <c r="S2" s="6">
        <v>12.267576214273969</v>
      </c>
      <c r="T2">
        <v>14.267576214273969</v>
      </c>
      <c r="U2" s="6">
        <v>16.267576214273969</v>
      </c>
      <c r="V2" s="6" t="s">
        <v>73</v>
      </c>
      <c r="W2" s="13" t="s">
        <v>71</v>
      </c>
      <c r="Y2" s="6" t="s">
        <v>72</v>
      </c>
      <c r="Z2">
        <v>-1300</v>
      </c>
      <c r="AA2"/>
      <c r="AB2"/>
    </row>
    <row r="3" spans="1:28" x14ac:dyDescent="0.2">
      <c r="E3" s="6"/>
      <c r="F3" s="6"/>
      <c r="G3" s="6"/>
      <c r="M3"/>
      <c r="N3" s="23">
        <v>266</v>
      </c>
      <c r="O3" s="24">
        <v>0.48571653847921026</v>
      </c>
      <c r="P3"/>
      <c r="R3" s="22">
        <v>129840</v>
      </c>
      <c r="S3" s="6">
        <v>11.138721719976772</v>
      </c>
      <c r="T3">
        <v>13.138721719976772</v>
      </c>
      <c r="U3" s="6">
        <v>15.138721719976772</v>
      </c>
      <c r="AA3"/>
      <c r="AB3"/>
    </row>
    <row r="4" spans="1:28" x14ac:dyDescent="0.2">
      <c r="E4" s="6"/>
      <c r="F4" s="6"/>
      <c r="G4" s="6"/>
      <c r="M4"/>
      <c r="N4"/>
      <c r="O4"/>
      <c r="P4"/>
      <c r="R4"/>
      <c r="T4"/>
      <c r="AA4"/>
      <c r="AB4"/>
    </row>
    <row r="5" spans="1:28" x14ac:dyDescent="0.2">
      <c r="E5" s="6"/>
      <c r="F5" s="6"/>
      <c r="G5" s="6"/>
      <c r="M5"/>
      <c r="N5"/>
      <c r="O5"/>
      <c r="P5"/>
      <c r="R5"/>
      <c r="T5"/>
      <c r="AA5"/>
      <c r="AB5"/>
    </row>
    <row r="6" spans="1:28" x14ac:dyDescent="0.2">
      <c r="M6"/>
      <c r="N6"/>
      <c r="O6"/>
      <c r="P6"/>
      <c r="R6"/>
      <c r="T6"/>
      <c r="AA6"/>
      <c r="AB6"/>
    </row>
    <row r="7" spans="1:28" x14ac:dyDescent="0.2">
      <c r="M7"/>
      <c r="N7"/>
      <c r="O7"/>
      <c r="P7"/>
      <c r="R7"/>
      <c r="T7"/>
      <c r="AA7"/>
      <c r="AB7"/>
    </row>
    <row r="8" spans="1:28" x14ac:dyDescent="0.2">
      <c r="M8"/>
      <c r="N8"/>
      <c r="O8"/>
      <c r="P8"/>
      <c r="R8"/>
      <c r="T8"/>
      <c r="AA8"/>
      <c r="AB8"/>
    </row>
    <row r="9" spans="1:28" x14ac:dyDescent="0.2">
      <c r="M9"/>
      <c r="N9"/>
      <c r="O9"/>
      <c r="P9"/>
      <c r="R9"/>
      <c r="T9"/>
      <c r="AA9"/>
      <c r="AB9"/>
    </row>
    <row r="10" spans="1:28" x14ac:dyDescent="0.2">
      <c r="M10"/>
      <c r="N10"/>
      <c r="O10"/>
      <c r="P10"/>
      <c r="R10"/>
      <c r="T10"/>
      <c r="AA10"/>
      <c r="AB10"/>
    </row>
    <row r="11" spans="1:28" x14ac:dyDescent="0.2">
      <c r="M11"/>
      <c r="N11"/>
      <c r="O11"/>
      <c r="P11"/>
      <c r="R11"/>
      <c r="T11"/>
      <c r="AA11"/>
      <c r="AB11"/>
    </row>
    <row r="12" spans="1:28" x14ac:dyDescent="0.2">
      <c r="M12"/>
      <c r="N12"/>
      <c r="O12"/>
      <c r="P12"/>
      <c r="R12"/>
      <c r="T12"/>
      <c r="AA12"/>
      <c r="AB12"/>
    </row>
    <row r="13" spans="1:28" x14ac:dyDescent="0.2">
      <c r="M13"/>
      <c r="N13"/>
      <c r="O13"/>
      <c r="P13"/>
      <c r="R13"/>
      <c r="T13"/>
      <c r="AA13"/>
      <c r="AB13"/>
    </row>
    <row r="14" spans="1:28" x14ac:dyDescent="0.2">
      <c r="M14"/>
      <c r="N14"/>
      <c r="O14"/>
      <c r="P14"/>
      <c r="R14"/>
      <c r="T14"/>
      <c r="AA14"/>
      <c r="AB14"/>
    </row>
    <row r="15" spans="1:28" x14ac:dyDescent="0.2">
      <c r="M15"/>
      <c r="N15"/>
      <c r="O15"/>
      <c r="R15"/>
      <c r="T15"/>
      <c r="AA15"/>
      <c r="AB15"/>
    </row>
    <row r="16" spans="1:28" x14ac:dyDescent="0.2">
      <c r="M16"/>
      <c r="N16"/>
      <c r="O16"/>
      <c r="R16"/>
      <c r="T16"/>
    </row>
    <row r="17" spans="13:20" x14ac:dyDescent="0.2">
      <c r="M17"/>
      <c r="N17"/>
      <c r="O17"/>
      <c r="R17"/>
      <c r="T17"/>
    </row>
    <row r="18" spans="13:20" x14ac:dyDescent="0.2">
      <c r="M18"/>
      <c r="N18"/>
      <c r="O18"/>
      <c r="R18"/>
      <c r="T18"/>
    </row>
    <row r="19" spans="13:20" x14ac:dyDescent="0.2">
      <c r="M19"/>
      <c r="N19"/>
      <c r="O19"/>
      <c r="R19"/>
      <c r="T19"/>
    </row>
    <row r="20" spans="13:20" x14ac:dyDescent="0.2">
      <c r="M20"/>
      <c r="N20"/>
      <c r="O20"/>
      <c r="R20"/>
      <c r="T20"/>
    </row>
    <row r="21" spans="13:20" x14ac:dyDescent="0.2">
      <c r="M21"/>
      <c r="R21"/>
      <c r="T21"/>
    </row>
    <row r="22" spans="13:20" x14ac:dyDescent="0.2">
      <c r="M22"/>
      <c r="R22"/>
      <c r="T22"/>
    </row>
    <row r="23" spans="13:20" x14ac:dyDescent="0.2">
      <c r="M23"/>
      <c r="R23"/>
      <c r="T23"/>
    </row>
    <row r="24" spans="13:20" x14ac:dyDescent="0.2">
      <c r="M24"/>
      <c r="R24"/>
      <c r="T24"/>
    </row>
    <row r="25" spans="13:20" x14ac:dyDescent="0.2">
      <c r="M25"/>
      <c r="R25"/>
      <c r="T25"/>
    </row>
    <row r="26" spans="13:20" x14ac:dyDescent="0.2">
      <c r="M26"/>
      <c r="R26"/>
      <c r="T26"/>
    </row>
    <row r="27" spans="13:20" x14ac:dyDescent="0.2">
      <c r="M27"/>
      <c r="R27"/>
      <c r="T27"/>
    </row>
    <row r="28" spans="13:20" x14ac:dyDescent="0.2">
      <c r="M28"/>
      <c r="R28"/>
      <c r="T28"/>
    </row>
    <row r="29" spans="13:20" x14ac:dyDescent="0.2">
      <c r="M29"/>
      <c r="R29"/>
      <c r="T29"/>
    </row>
    <row r="30" spans="13:20" x14ac:dyDescent="0.2">
      <c r="M30"/>
      <c r="R30"/>
      <c r="T30"/>
    </row>
    <row r="31" spans="13:20" x14ac:dyDescent="0.2">
      <c r="R31"/>
      <c r="T31"/>
    </row>
    <row r="32" spans="13:20" x14ac:dyDescent="0.2">
      <c r="R32"/>
      <c r="T32"/>
    </row>
    <row r="33" spans="18:20" x14ac:dyDescent="0.2">
      <c r="R33"/>
      <c r="T33"/>
    </row>
    <row r="34" spans="18:20" x14ac:dyDescent="0.2">
      <c r="R34"/>
      <c r="T34"/>
    </row>
    <row r="35" spans="18:20" x14ac:dyDescent="0.2">
      <c r="R35"/>
      <c r="T35"/>
    </row>
    <row r="36" spans="18:20" x14ac:dyDescent="0.2">
      <c r="R36"/>
      <c r="T36"/>
    </row>
    <row r="37" spans="18:20" x14ac:dyDescent="0.2">
      <c r="R37"/>
      <c r="T37"/>
    </row>
    <row r="38" spans="18:20" x14ac:dyDescent="0.2">
      <c r="R38"/>
      <c r="T38"/>
    </row>
    <row r="39" spans="18:20" x14ac:dyDescent="0.2">
      <c r="R39"/>
      <c r="T39"/>
    </row>
    <row r="40" spans="18:20" x14ac:dyDescent="0.2">
      <c r="R40"/>
      <c r="T40"/>
    </row>
    <row r="41" spans="18:20" x14ac:dyDescent="0.2">
      <c r="R41"/>
      <c r="T41"/>
    </row>
    <row r="42" spans="18:20" x14ac:dyDescent="0.2">
      <c r="R42"/>
      <c r="T42"/>
    </row>
    <row r="43" spans="18:20" x14ac:dyDescent="0.2">
      <c r="R43"/>
      <c r="T43"/>
    </row>
    <row r="44" spans="18:20" x14ac:dyDescent="0.2">
      <c r="R44"/>
      <c r="T44"/>
    </row>
    <row r="45" spans="18:20" x14ac:dyDescent="0.2">
      <c r="R45"/>
      <c r="T45"/>
    </row>
    <row r="46" spans="18:20" x14ac:dyDescent="0.2">
      <c r="R46"/>
      <c r="T46"/>
    </row>
    <row r="47" spans="18:20" x14ac:dyDescent="0.2">
      <c r="R47"/>
      <c r="T47"/>
    </row>
    <row r="48" spans="18: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E0312AC9-9860-E941-8BDB-5B34E69BCC64}"/>
  </hyperlinks>
  <pageMargins left="0.75" right="0.75" top="1" bottom="1" header="0.5" footer="0.5"/>
  <pageSetup orientation="portrait"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E53B0-BC3A-E04A-A627-6A40FD3A018F}">
  <sheetPr>
    <tabColor rgb="FF0000FF"/>
  </sheetPr>
  <dimension ref="A1:AB200"/>
  <sheetViews>
    <sheetView zoomScale="62" workbookViewId="0">
      <selection activeCell="S24" sqref="S24"/>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77</v>
      </c>
      <c r="B2" s="12">
        <v>160.22999999999999</v>
      </c>
      <c r="C2" s="12">
        <v>-56.67</v>
      </c>
      <c r="D2" s="10" t="s">
        <v>74</v>
      </c>
      <c r="E2" s="6"/>
      <c r="F2" s="6"/>
      <c r="G2" s="6"/>
      <c r="L2">
        <v>396</v>
      </c>
      <c r="M2">
        <v>3.81</v>
      </c>
      <c r="N2">
        <v>402</v>
      </c>
      <c r="O2" s="24"/>
      <c r="P2"/>
      <c r="Q2" s="1"/>
      <c r="R2">
        <v>115910</v>
      </c>
      <c r="T2">
        <v>5.46</v>
      </c>
      <c r="V2" s="6" t="s">
        <v>76</v>
      </c>
      <c r="W2" s="13" t="s">
        <v>75</v>
      </c>
      <c r="Y2" s="6" t="s">
        <v>78</v>
      </c>
      <c r="Z2">
        <v>-3912</v>
      </c>
      <c r="AA2"/>
      <c r="AB2"/>
    </row>
    <row r="3" spans="1:28" x14ac:dyDescent="0.2">
      <c r="E3" s="6"/>
      <c r="F3" s="6"/>
      <c r="G3" s="6"/>
      <c r="L3">
        <v>401</v>
      </c>
      <c r="M3">
        <v>2.9</v>
      </c>
      <c r="N3">
        <v>406</v>
      </c>
      <c r="O3" s="24"/>
      <c r="P3"/>
      <c r="Q3" s="1"/>
      <c r="R3">
        <v>116470</v>
      </c>
      <c r="T3">
        <v>5.03</v>
      </c>
      <c r="AA3"/>
      <c r="AB3"/>
    </row>
    <row r="4" spans="1:28" x14ac:dyDescent="0.2">
      <c r="E4" s="6"/>
      <c r="F4" s="6"/>
      <c r="G4" s="6"/>
      <c r="L4">
        <v>406</v>
      </c>
      <c r="M4">
        <v>3.06</v>
      </c>
      <c r="N4">
        <v>410</v>
      </c>
      <c r="O4"/>
      <c r="P4"/>
      <c r="Q4" s="1"/>
      <c r="R4">
        <v>117040</v>
      </c>
      <c r="T4">
        <v>5.7</v>
      </c>
      <c r="AA4"/>
      <c r="AB4"/>
    </row>
    <row r="5" spans="1:28" x14ac:dyDescent="0.2">
      <c r="E5" s="6"/>
      <c r="F5" s="6"/>
      <c r="G5" s="6"/>
      <c r="L5">
        <v>411</v>
      </c>
      <c r="M5">
        <v>2.75</v>
      </c>
      <c r="N5">
        <v>414</v>
      </c>
      <c r="O5"/>
      <c r="P5"/>
      <c r="Q5" s="1"/>
      <c r="R5">
        <v>117610</v>
      </c>
      <c r="T5">
        <v>5.24</v>
      </c>
      <c r="AA5"/>
      <c r="AB5"/>
    </row>
    <row r="6" spans="1:28" x14ac:dyDescent="0.2">
      <c r="L6">
        <v>416</v>
      </c>
      <c r="M6">
        <v>2.62</v>
      </c>
      <c r="N6">
        <v>420</v>
      </c>
      <c r="O6"/>
      <c r="P6"/>
      <c r="Q6" s="1"/>
      <c r="R6">
        <v>118460</v>
      </c>
      <c r="T6">
        <v>5.01</v>
      </c>
      <c r="AA6"/>
      <c r="AB6"/>
    </row>
    <row r="7" spans="1:28" x14ac:dyDescent="0.2">
      <c r="L7">
        <v>421</v>
      </c>
      <c r="M7">
        <v>2.65</v>
      </c>
      <c r="N7">
        <v>424</v>
      </c>
      <c r="O7"/>
      <c r="P7"/>
      <c r="Q7" s="1"/>
      <c r="R7">
        <v>119030</v>
      </c>
      <c r="T7">
        <v>5.13</v>
      </c>
      <c r="AA7"/>
      <c r="AB7"/>
    </row>
    <row r="8" spans="1:28" x14ac:dyDescent="0.2">
      <c r="L8">
        <v>426</v>
      </c>
      <c r="M8">
        <v>2.69</v>
      </c>
      <c r="N8">
        <v>430</v>
      </c>
      <c r="O8"/>
      <c r="P8"/>
      <c r="Q8" s="1"/>
      <c r="R8">
        <v>119880</v>
      </c>
      <c r="T8">
        <v>5.55</v>
      </c>
      <c r="AA8"/>
      <c r="AB8"/>
    </row>
    <row r="9" spans="1:28" x14ac:dyDescent="0.2">
      <c r="L9">
        <v>431</v>
      </c>
      <c r="M9">
        <v>2.66</v>
      </c>
      <c r="N9">
        <v>434</v>
      </c>
      <c r="O9"/>
      <c r="P9"/>
      <c r="Q9" s="1"/>
      <c r="R9">
        <v>120450</v>
      </c>
      <c r="T9">
        <v>5.17</v>
      </c>
      <c r="AA9"/>
      <c r="AB9"/>
    </row>
    <row r="10" spans="1:28" x14ac:dyDescent="0.2">
      <c r="L10">
        <v>436</v>
      </c>
      <c r="M10">
        <v>2.77</v>
      </c>
      <c r="N10">
        <v>440</v>
      </c>
      <c r="O10"/>
      <c r="P10"/>
      <c r="Q10" s="1"/>
      <c r="R10">
        <v>121310</v>
      </c>
      <c r="T10">
        <v>4.87</v>
      </c>
      <c r="AA10"/>
      <c r="AB10"/>
    </row>
    <row r="11" spans="1:28" x14ac:dyDescent="0.2">
      <c r="L11">
        <v>441</v>
      </c>
      <c r="M11">
        <v>2.66</v>
      </c>
      <c r="N11">
        <v>444</v>
      </c>
      <c r="O11"/>
      <c r="P11"/>
      <c r="Q11" s="1"/>
      <c r="R11">
        <v>121870</v>
      </c>
      <c r="T11">
        <v>5.24</v>
      </c>
      <c r="AA11"/>
      <c r="AB11"/>
    </row>
    <row r="12" spans="1:28" x14ac:dyDescent="0.2">
      <c r="L12">
        <v>446</v>
      </c>
      <c r="M12">
        <v>2.81</v>
      </c>
      <c r="N12">
        <v>450</v>
      </c>
      <c r="O12"/>
      <c r="P12"/>
      <c r="Q12" s="1"/>
      <c r="R12">
        <v>122730</v>
      </c>
      <c r="T12">
        <v>4.9800000000000004</v>
      </c>
      <c r="AA12"/>
      <c r="AB12"/>
    </row>
    <row r="13" spans="1:28" x14ac:dyDescent="0.2">
      <c r="L13">
        <v>451</v>
      </c>
      <c r="M13">
        <v>2.77</v>
      </c>
      <c r="N13">
        <v>454</v>
      </c>
      <c r="O13"/>
      <c r="P13"/>
      <c r="Q13" s="1"/>
      <c r="R13">
        <v>123290</v>
      </c>
      <c r="T13">
        <v>4.4000000000000004</v>
      </c>
      <c r="AA13"/>
      <c r="AB13"/>
    </row>
    <row r="14" spans="1:28" x14ac:dyDescent="0.2">
      <c r="L14">
        <v>456</v>
      </c>
      <c r="M14">
        <v>2.84</v>
      </c>
      <c r="N14">
        <v>460</v>
      </c>
      <c r="O14"/>
      <c r="P14"/>
      <c r="Q14" s="1"/>
      <c r="R14">
        <v>124150</v>
      </c>
      <c r="T14">
        <v>4.25</v>
      </c>
      <c r="AA14"/>
      <c r="AB14"/>
    </row>
    <row r="15" spans="1:28" x14ac:dyDescent="0.2">
      <c r="L15">
        <v>461</v>
      </c>
      <c r="M15">
        <v>2.81</v>
      </c>
      <c r="N15">
        <v>464</v>
      </c>
      <c r="O15"/>
      <c r="Q15" s="1"/>
      <c r="R15">
        <v>124720</v>
      </c>
      <c r="T15">
        <v>6.07</v>
      </c>
      <c r="AA15"/>
      <c r="AB15"/>
    </row>
    <row r="16" spans="1:28" x14ac:dyDescent="0.2">
      <c r="L16">
        <v>466</v>
      </c>
      <c r="M16">
        <v>2.87</v>
      </c>
      <c r="N16">
        <v>470</v>
      </c>
      <c r="O16"/>
      <c r="Q16" s="1"/>
      <c r="R16">
        <v>126180</v>
      </c>
      <c r="T16">
        <v>5.36</v>
      </c>
    </row>
    <row r="17" spans="12:20" x14ac:dyDescent="0.2">
      <c r="L17">
        <v>471</v>
      </c>
      <c r="M17">
        <v>3.13</v>
      </c>
      <c r="N17">
        <v>474</v>
      </c>
      <c r="O17"/>
      <c r="Q17" s="1"/>
      <c r="R17">
        <v>127360</v>
      </c>
      <c r="T17">
        <v>5.84</v>
      </c>
    </row>
    <row r="18" spans="12:20" x14ac:dyDescent="0.2">
      <c r="L18">
        <v>476</v>
      </c>
      <c r="M18">
        <v>3.19</v>
      </c>
      <c r="N18">
        <v>480</v>
      </c>
      <c r="O18"/>
      <c r="Q18" s="1"/>
      <c r="R18">
        <v>129139.99999999999</v>
      </c>
      <c r="T18">
        <v>5.81</v>
      </c>
    </row>
    <row r="19" spans="12:20" x14ac:dyDescent="0.2">
      <c r="L19">
        <v>481</v>
      </c>
      <c r="M19">
        <v>3.72</v>
      </c>
      <c r="N19">
        <v>484</v>
      </c>
      <c r="O19"/>
      <c r="Q19" s="1"/>
      <c r="R19">
        <v>130320</v>
      </c>
      <c r="T19">
        <v>3.84</v>
      </c>
    </row>
    <row r="20" spans="12:20" x14ac:dyDescent="0.2">
      <c r="L20">
        <v>486</v>
      </c>
      <c r="M20"/>
      <c r="N20">
        <v>490</v>
      </c>
      <c r="O20"/>
      <c r="Q20" s="1"/>
      <c r="R20">
        <v>132090</v>
      </c>
      <c r="T20">
        <v>3.34</v>
      </c>
    </row>
    <row r="21" spans="12:20" x14ac:dyDescent="0.2">
      <c r="L21">
        <v>486</v>
      </c>
      <c r="M21">
        <v>4.1399999999999997</v>
      </c>
      <c r="N21">
        <v>494</v>
      </c>
      <c r="Q21" s="1"/>
      <c r="R21">
        <v>133270</v>
      </c>
      <c r="T21">
        <v>2.78</v>
      </c>
    </row>
    <row r="22" spans="12:20" x14ac:dyDescent="0.2">
      <c r="L22">
        <v>496</v>
      </c>
      <c r="M22">
        <v>4.33</v>
      </c>
      <c r="N22">
        <v>500</v>
      </c>
      <c r="Q22" s="1"/>
      <c r="R22">
        <v>135040</v>
      </c>
      <c r="T22">
        <v>3.62</v>
      </c>
    </row>
    <row r="23" spans="12:20" x14ac:dyDescent="0.2">
      <c r="L23">
        <v>501</v>
      </c>
      <c r="M23">
        <v>4.5199999999999996</v>
      </c>
      <c r="N23">
        <v>504</v>
      </c>
      <c r="Q23" s="1"/>
      <c r="R23">
        <v>138930</v>
      </c>
      <c r="T23">
        <v>1.76</v>
      </c>
    </row>
    <row r="24" spans="12:20" x14ac:dyDescent="0.2">
      <c r="M24"/>
      <c r="R24"/>
      <c r="T24"/>
    </row>
    <row r="25" spans="12:20" x14ac:dyDescent="0.2">
      <c r="M25"/>
      <c r="R25"/>
      <c r="T25"/>
    </row>
    <row r="26" spans="12:20" x14ac:dyDescent="0.2">
      <c r="M26"/>
      <c r="R26"/>
      <c r="T26"/>
    </row>
    <row r="27" spans="12:20" x14ac:dyDescent="0.2">
      <c r="M27"/>
      <c r="R27"/>
      <c r="T27"/>
    </row>
    <row r="28" spans="12:20" x14ac:dyDescent="0.2">
      <c r="M28"/>
      <c r="R28"/>
      <c r="T28"/>
    </row>
    <row r="29" spans="12:20" x14ac:dyDescent="0.2">
      <c r="M29"/>
      <c r="R29"/>
      <c r="T29"/>
    </row>
    <row r="30" spans="12:20" x14ac:dyDescent="0.2">
      <c r="M30"/>
      <c r="R30"/>
      <c r="T30"/>
    </row>
    <row r="31" spans="12:20" x14ac:dyDescent="0.2">
      <c r="R31"/>
      <c r="T31"/>
    </row>
    <row r="32" spans="12:20" x14ac:dyDescent="0.2">
      <c r="R32"/>
      <c r="T32"/>
    </row>
    <row r="33" spans="18:20" x14ac:dyDescent="0.2">
      <c r="R33"/>
      <c r="T33"/>
    </row>
    <row r="34" spans="18:20" x14ac:dyDescent="0.2">
      <c r="R34"/>
      <c r="T34"/>
    </row>
    <row r="35" spans="18:20" x14ac:dyDescent="0.2">
      <c r="R35"/>
      <c r="T35"/>
    </row>
    <row r="36" spans="18:20" x14ac:dyDescent="0.2">
      <c r="R36"/>
      <c r="T36"/>
    </row>
    <row r="37" spans="18:20" x14ac:dyDescent="0.2">
      <c r="R37"/>
      <c r="T37"/>
    </row>
    <row r="38" spans="18:20" x14ac:dyDescent="0.2">
      <c r="R38"/>
      <c r="T38"/>
    </row>
    <row r="39" spans="18:20" x14ac:dyDescent="0.2">
      <c r="R39"/>
      <c r="T39"/>
    </row>
    <row r="40" spans="18:20" x14ac:dyDescent="0.2">
      <c r="R40"/>
      <c r="T40"/>
    </row>
    <row r="41" spans="18:20" x14ac:dyDescent="0.2">
      <c r="R41"/>
      <c r="T41"/>
    </row>
    <row r="42" spans="18:20" x14ac:dyDescent="0.2">
      <c r="R42"/>
      <c r="T42"/>
    </row>
    <row r="43" spans="18:20" x14ac:dyDescent="0.2">
      <c r="R43"/>
      <c r="T43"/>
    </row>
    <row r="44" spans="18:20" x14ac:dyDescent="0.2">
      <c r="R44"/>
      <c r="T44"/>
    </row>
    <row r="45" spans="18:20" x14ac:dyDescent="0.2">
      <c r="R45"/>
      <c r="T45"/>
    </row>
    <row r="46" spans="18:20" x14ac:dyDescent="0.2">
      <c r="R46"/>
      <c r="T46"/>
    </row>
    <row r="47" spans="18:20" x14ac:dyDescent="0.2">
      <c r="R47"/>
      <c r="T47"/>
    </row>
    <row r="48" spans="18: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345479A4-801B-4246-914C-8065F11B1304}"/>
  </hyperlinks>
  <pageMargins left="0.75" right="0.75" top="1" bottom="1" header="0.5" footer="0.5"/>
  <pageSetup orientation="portrait" horizontalDpi="4294967292" verticalDpi="429496729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FCD6-F0FC-1A46-8F80-C3E4EE86EB1F}">
  <sheetPr>
    <tabColor rgb="FF0000FF"/>
  </sheetPr>
  <dimension ref="A1:AB200"/>
  <sheetViews>
    <sheetView zoomScale="62" workbookViewId="0">
      <selection activeCell="Q15" sqref="Q15"/>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81</v>
      </c>
      <c r="B2" s="12">
        <v>-87.118889999999993</v>
      </c>
      <c r="C2" s="12">
        <v>29.001670000000001</v>
      </c>
      <c r="D2" s="10" t="s">
        <v>20</v>
      </c>
      <c r="E2" s="6"/>
      <c r="F2" s="6"/>
      <c r="G2" s="6"/>
      <c r="L2">
        <v>1405</v>
      </c>
      <c r="M2">
        <v>-0.747</v>
      </c>
      <c r="N2">
        <v>1405</v>
      </c>
      <c r="O2">
        <v>4.266</v>
      </c>
      <c r="P2">
        <v>26.87</v>
      </c>
      <c r="R2">
        <v>114000</v>
      </c>
      <c r="T2">
        <v>26.87</v>
      </c>
      <c r="V2" s="6" t="s">
        <v>79</v>
      </c>
      <c r="W2" s="13" t="s">
        <v>80</v>
      </c>
      <c r="Y2" s="6" t="s">
        <v>82</v>
      </c>
      <c r="Z2">
        <v>-847</v>
      </c>
      <c r="AA2"/>
      <c r="AB2"/>
    </row>
    <row r="3" spans="1:28" x14ac:dyDescent="0.2">
      <c r="E3" s="6"/>
      <c r="F3" s="6"/>
      <c r="G3" s="6"/>
      <c r="L3">
        <v>1410</v>
      </c>
      <c r="M3">
        <v>-0.46899999999999997</v>
      </c>
      <c r="N3">
        <v>1410</v>
      </c>
      <c r="O3">
        <v>4.1079999999999997</v>
      </c>
      <c r="P3">
        <v>26.45</v>
      </c>
      <c r="R3">
        <v>115667</v>
      </c>
      <c r="T3">
        <v>26.45</v>
      </c>
      <c r="AA3"/>
      <c r="AB3"/>
    </row>
    <row r="4" spans="1:28" x14ac:dyDescent="0.2">
      <c r="E4" s="6"/>
      <c r="F4" s="6"/>
      <c r="G4" s="6"/>
      <c r="L4">
        <v>1415</v>
      </c>
      <c r="M4">
        <v>-1.6140000000000001</v>
      </c>
      <c r="N4">
        <v>1415</v>
      </c>
      <c r="O4">
        <v>4.3970000000000002</v>
      </c>
      <c r="P4">
        <v>27.21</v>
      </c>
      <c r="R4">
        <v>117333</v>
      </c>
      <c r="T4">
        <v>27.21</v>
      </c>
      <c r="AA4"/>
      <c r="AB4"/>
    </row>
    <row r="5" spans="1:28" x14ac:dyDescent="0.2">
      <c r="E5" s="6"/>
      <c r="F5" s="6"/>
      <c r="G5" s="6"/>
      <c r="L5">
        <v>1420</v>
      </c>
      <c r="M5">
        <v>-1.32</v>
      </c>
      <c r="N5">
        <v>1420</v>
      </c>
      <c r="O5">
        <v>4.1159999999999997</v>
      </c>
      <c r="P5">
        <v>26.47</v>
      </c>
      <c r="R5">
        <v>119000</v>
      </c>
      <c r="T5">
        <v>26.47</v>
      </c>
      <c r="AA5"/>
      <c r="AB5"/>
    </row>
    <row r="6" spans="1:28" x14ac:dyDescent="0.2">
      <c r="L6">
        <v>1425</v>
      </c>
      <c r="M6">
        <v>-1.474</v>
      </c>
      <c r="N6">
        <v>1425</v>
      </c>
      <c r="O6">
        <v>4.6749999999999998</v>
      </c>
      <c r="P6">
        <v>27.89</v>
      </c>
      <c r="R6">
        <v>119727</v>
      </c>
      <c r="T6">
        <v>27.89</v>
      </c>
      <c r="AA6"/>
      <c r="AB6"/>
    </row>
    <row r="7" spans="1:28" x14ac:dyDescent="0.2">
      <c r="L7">
        <v>1430</v>
      </c>
      <c r="M7">
        <v>-1.369</v>
      </c>
      <c r="N7">
        <v>1430</v>
      </c>
      <c r="O7">
        <v>5.19</v>
      </c>
      <c r="P7">
        <v>29.05</v>
      </c>
      <c r="R7">
        <v>120455</v>
      </c>
      <c r="T7">
        <v>29.05</v>
      </c>
      <c r="AA7"/>
      <c r="AB7"/>
    </row>
    <row r="8" spans="1:28" x14ac:dyDescent="0.2">
      <c r="L8">
        <v>1435</v>
      </c>
      <c r="M8">
        <v>-1.9259999999999999</v>
      </c>
      <c r="N8">
        <v>1435</v>
      </c>
      <c r="O8">
        <v>5.6</v>
      </c>
      <c r="P8">
        <v>29.89</v>
      </c>
      <c r="R8">
        <v>121182</v>
      </c>
      <c r="T8">
        <v>29.89</v>
      </c>
      <c r="AA8"/>
      <c r="AB8"/>
    </row>
    <row r="9" spans="1:28" x14ac:dyDescent="0.2">
      <c r="L9">
        <v>1440</v>
      </c>
      <c r="M9">
        <v>-1.6519999999999999</v>
      </c>
      <c r="N9">
        <v>1440</v>
      </c>
      <c r="O9">
        <v>5.0199999999999996</v>
      </c>
      <c r="P9">
        <v>28.68</v>
      </c>
      <c r="R9">
        <v>121909</v>
      </c>
      <c r="T9">
        <v>28.68</v>
      </c>
      <c r="AA9"/>
      <c r="AB9"/>
    </row>
    <row r="10" spans="1:28" x14ac:dyDescent="0.2">
      <c r="L10">
        <v>1445</v>
      </c>
      <c r="M10">
        <v>-1.6839999999999999</v>
      </c>
      <c r="N10">
        <v>1445</v>
      </c>
      <c r="O10">
        <v>5.09</v>
      </c>
      <c r="P10">
        <v>28.83</v>
      </c>
      <c r="R10">
        <v>122636</v>
      </c>
      <c r="T10">
        <v>28.83</v>
      </c>
      <c r="AA10"/>
      <c r="AB10"/>
    </row>
    <row r="11" spans="1:28" x14ac:dyDescent="0.2">
      <c r="L11">
        <v>1450</v>
      </c>
      <c r="M11">
        <v>-1.6379999999999999</v>
      </c>
      <c r="N11">
        <v>1450</v>
      </c>
      <c r="O11">
        <v>4.9690000000000003</v>
      </c>
      <c r="P11">
        <v>28.56</v>
      </c>
      <c r="R11">
        <v>123364</v>
      </c>
      <c r="T11">
        <v>28.56</v>
      </c>
      <c r="AA11"/>
      <c r="AB11"/>
    </row>
    <row r="12" spans="1:28" x14ac:dyDescent="0.2">
      <c r="L12">
        <v>1455</v>
      </c>
      <c r="M12">
        <v>-1.5389999999999999</v>
      </c>
      <c r="N12">
        <v>1455</v>
      </c>
      <c r="O12">
        <v>4.8129999999999997</v>
      </c>
      <c r="P12">
        <v>28.21</v>
      </c>
      <c r="R12">
        <v>124091</v>
      </c>
      <c r="T12">
        <v>28.21</v>
      </c>
      <c r="AA12"/>
      <c r="AB12"/>
    </row>
    <row r="13" spans="1:28" x14ac:dyDescent="0.2">
      <c r="L13">
        <v>1460</v>
      </c>
      <c r="M13">
        <v>-1.8069999999999999</v>
      </c>
      <c r="N13">
        <v>1460</v>
      </c>
      <c r="O13">
        <v>4.9340000000000002</v>
      </c>
      <c r="P13">
        <v>28.49</v>
      </c>
      <c r="R13">
        <v>124818</v>
      </c>
      <c r="T13">
        <v>28.49</v>
      </c>
      <c r="AA13"/>
      <c r="AB13"/>
    </row>
    <row r="14" spans="1:28" x14ac:dyDescent="0.2">
      <c r="L14">
        <v>1465</v>
      </c>
      <c r="M14">
        <v>-1.9419999999999999</v>
      </c>
      <c r="N14">
        <v>1465</v>
      </c>
      <c r="O14">
        <v>4.9379999999999997</v>
      </c>
      <c r="P14">
        <v>28.49</v>
      </c>
      <c r="R14">
        <v>125545</v>
      </c>
      <c r="T14">
        <v>28.49</v>
      </c>
      <c r="AA14"/>
      <c r="AB14"/>
    </row>
    <row r="15" spans="1:28" x14ac:dyDescent="0.2">
      <c r="L15">
        <v>1470</v>
      </c>
      <c r="M15">
        <v>-1.756</v>
      </c>
      <c r="N15">
        <v>1470</v>
      </c>
      <c r="O15">
        <v>4.593</v>
      </c>
      <c r="P15">
        <v>27.69</v>
      </c>
      <c r="R15">
        <v>126273</v>
      </c>
      <c r="T15">
        <v>27.69</v>
      </c>
      <c r="AA15"/>
      <c r="AB15"/>
    </row>
    <row r="16" spans="1:28" x14ac:dyDescent="0.2">
      <c r="L16">
        <v>1475</v>
      </c>
      <c r="M16">
        <v>-1.8380000000000001</v>
      </c>
      <c r="N16">
        <v>1475</v>
      </c>
      <c r="O16">
        <v>4.2990000000000004</v>
      </c>
      <c r="P16">
        <v>26.96</v>
      </c>
      <c r="R16">
        <v>127000</v>
      </c>
      <c r="T16">
        <v>26.96</v>
      </c>
    </row>
    <row r="17" spans="12:20" x14ac:dyDescent="0.2">
      <c r="L17">
        <v>1480</v>
      </c>
      <c r="M17">
        <v>-1.877</v>
      </c>
      <c r="N17">
        <v>1480</v>
      </c>
      <c r="O17">
        <v>4.59</v>
      </c>
      <c r="P17">
        <v>27.68</v>
      </c>
      <c r="R17">
        <v>127727</v>
      </c>
      <c r="T17">
        <v>27.68</v>
      </c>
    </row>
    <row r="18" spans="12:20" x14ac:dyDescent="0.2">
      <c r="L18">
        <v>1485</v>
      </c>
      <c r="M18">
        <v>-0.86399999999999999</v>
      </c>
      <c r="N18">
        <v>1485</v>
      </c>
      <c r="O18">
        <v>3.8570000000000002</v>
      </c>
      <c r="P18">
        <v>25.75</v>
      </c>
      <c r="R18">
        <v>128455</v>
      </c>
      <c r="T18">
        <v>25.75</v>
      </c>
    </row>
    <row r="19" spans="12:20" x14ac:dyDescent="0.2">
      <c r="L19">
        <v>1490</v>
      </c>
      <c r="M19">
        <v>-0.88800000000000001</v>
      </c>
      <c r="N19">
        <v>1490</v>
      </c>
      <c r="O19">
        <v>4.0220000000000002</v>
      </c>
      <c r="P19">
        <v>26.22</v>
      </c>
      <c r="R19">
        <v>129182</v>
      </c>
      <c r="T19">
        <v>26.22</v>
      </c>
    </row>
    <row r="20" spans="12:20" x14ac:dyDescent="0.2">
      <c r="L20">
        <v>1495</v>
      </c>
      <c r="M20">
        <v>-0.45900000000000002</v>
      </c>
      <c r="N20">
        <v>1495</v>
      </c>
      <c r="O20">
        <v>4.2169999999999996</v>
      </c>
      <c r="P20">
        <v>26.74</v>
      </c>
      <c r="R20">
        <v>129909</v>
      </c>
      <c r="T20">
        <v>26.74</v>
      </c>
    </row>
    <row r="21" spans="12:20" x14ac:dyDescent="0.2">
      <c r="L21">
        <v>1498</v>
      </c>
      <c r="M21">
        <v>-0.98</v>
      </c>
      <c r="N21">
        <v>1498</v>
      </c>
      <c r="O21">
        <v>4.0839999999999996</v>
      </c>
      <c r="P21">
        <v>26.39</v>
      </c>
      <c r="R21">
        <v>130345</v>
      </c>
      <c r="T21">
        <v>26.39</v>
      </c>
    </row>
    <row r="22" spans="12:20" x14ac:dyDescent="0.2">
      <c r="L22">
        <v>1502</v>
      </c>
      <c r="M22">
        <v>0.7</v>
      </c>
      <c r="N22">
        <v>1502</v>
      </c>
      <c r="O22">
        <v>4.2080000000000002</v>
      </c>
      <c r="P22">
        <v>26.72</v>
      </c>
      <c r="R22">
        <v>130927</v>
      </c>
      <c r="T22">
        <v>26.72</v>
      </c>
    </row>
    <row r="23" spans="12:20" x14ac:dyDescent="0.2">
      <c r="L23">
        <v>1505</v>
      </c>
      <c r="M23">
        <v>0.20599999999999999</v>
      </c>
      <c r="N23">
        <v>1505</v>
      </c>
      <c r="O23">
        <v>4.0910000000000002</v>
      </c>
      <c r="P23">
        <v>26.4</v>
      </c>
      <c r="R23">
        <v>131364</v>
      </c>
      <c r="T23">
        <v>26.4</v>
      </c>
    </row>
    <row r="24" spans="12:20" x14ac:dyDescent="0.2">
      <c r="L24">
        <v>1510</v>
      </c>
      <c r="M24">
        <v>0.70899999999999996</v>
      </c>
      <c r="N24">
        <v>1510</v>
      </c>
      <c r="O24">
        <v>3.875</v>
      </c>
      <c r="P24">
        <v>25.8</v>
      </c>
      <c r="R24">
        <v>132091</v>
      </c>
      <c r="T24">
        <v>25.8</v>
      </c>
    </row>
    <row r="25" spans="12:20" x14ac:dyDescent="0.2">
      <c r="L25">
        <v>1515</v>
      </c>
      <c r="M25">
        <v>0.53800000000000003</v>
      </c>
      <c r="N25">
        <v>1515</v>
      </c>
      <c r="O25">
        <v>3.59</v>
      </c>
      <c r="P25">
        <v>24.95</v>
      </c>
      <c r="R25">
        <v>132818</v>
      </c>
      <c r="T25">
        <v>24.95</v>
      </c>
    </row>
    <row r="26" spans="12:20" x14ac:dyDescent="0.2">
      <c r="L26">
        <v>1520</v>
      </c>
      <c r="M26">
        <v>-0.35799999999999998</v>
      </c>
      <c r="N26">
        <v>1520</v>
      </c>
      <c r="O26">
        <v>3.99</v>
      </c>
      <c r="P26">
        <v>26.13</v>
      </c>
      <c r="R26">
        <v>133545</v>
      </c>
      <c r="T26">
        <v>26.13</v>
      </c>
    </row>
    <row r="27" spans="12:20" x14ac:dyDescent="0.2">
      <c r="L27">
        <v>1525</v>
      </c>
      <c r="M27">
        <v>0.71699999999999997</v>
      </c>
      <c r="N27">
        <v>1525</v>
      </c>
      <c r="O27">
        <v>3.694</v>
      </c>
      <c r="P27">
        <v>25.27</v>
      </c>
      <c r="R27">
        <v>134273</v>
      </c>
      <c r="T27">
        <v>25.27</v>
      </c>
    </row>
    <row r="28" spans="12:20" x14ac:dyDescent="0.2">
      <c r="L28">
        <v>1530</v>
      </c>
      <c r="M28">
        <v>1.1879999999999999</v>
      </c>
      <c r="N28">
        <v>1530</v>
      </c>
      <c r="O28">
        <v>3.464</v>
      </c>
      <c r="P28">
        <v>24.56</v>
      </c>
      <c r="R28">
        <v>135000</v>
      </c>
      <c r="T28">
        <v>24.56</v>
      </c>
    </row>
    <row r="29" spans="12:20" x14ac:dyDescent="0.2">
      <c r="L29">
        <v>1535</v>
      </c>
      <c r="M29">
        <v>0.60499999999999998</v>
      </c>
      <c r="N29">
        <v>1535</v>
      </c>
      <c r="O29">
        <v>3.7050000000000001</v>
      </c>
      <c r="P29">
        <v>25.3</v>
      </c>
      <c r="R29">
        <v>135652</v>
      </c>
      <c r="T29">
        <v>25.3</v>
      </c>
    </row>
    <row r="30" spans="12:20" x14ac:dyDescent="0.2">
      <c r="L30">
        <v>1540</v>
      </c>
      <c r="M30">
        <v>0.311</v>
      </c>
      <c r="N30">
        <v>1540</v>
      </c>
      <c r="O30">
        <v>3.6320000000000001</v>
      </c>
      <c r="P30">
        <v>25.08</v>
      </c>
      <c r="R30">
        <v>136304</v>
      </c>
      <c r="T30">
        <v>25.08</v>
      </c>
    </row>
    <row r="31" spans="12:20" x14ac:dyDescent="0.2">
      <c r="L31">
        <v>1545</v>
      </c>
      <c r="M31">
        <v>0.85799999999999998</v>
      </c>
      <c r="N31">
        <v>1545</v>
      </c>
      <c r="O31">
        <v>3.6419999999999999</v>
      </c>
      <c r="P31">
        <v>25.11</v>
      </c>
      <c r="R31">
        <v>136957</v>
      </c>
      <c r="T31">
        <v>25.11</v>
      </c>
    </row>
    <row r="32" spans="12:20" x14ac:dyDescent="0.2">
      <c r="L32">
        <v>1550</v>
      </c>
      <c r="M32">
        <v>0.94399999999999995</v>
      </c>
      <c r="N32">
        <v>1550</v>
      </c>
      <c r="O32">
        <v>3.4729999999999999</v>
      </c>
      <c r="P32">
        <v>24.58</v>
      </c>
      <c r="R32">
        <v>137609</v>
      </c>
      <c r="T32">
        <v>24.58</v>
      </c>
    </row>
    <row r="33" spans="12:20" x14ac:dyDescent="0.2">
      <c r="L33">
        <v>1555</v>
      </c>
      <c r="M33">
        <v>0.92100000000000004</v>
      </c>
      <c r="N33">
        <v>1555</v>
      </c>
      <c r="O33">
        <v>3.649</v>
      </c>
      <c r="P33">
        <v>25.13</v>
      </c>
      <c r="R33">
        <v>138261</v>
      </c>
      <c r="T33">
        <v>25.13</v>
      </c>
    </row>
    <row r="34" spans="12:20" x14ac:dyDescent="0.2">
      <c r="L34">
        <v>1565</v>
      </c>
      <c r="M34">
        <v>0.64300000000000002</v>
      </c>
      <c r="N34">
        <v>1565</v>
      </c>
      <c r="O34">
        <v>3.8610000000000002</v>
      </c>
      <c r="P34">
        <v>25.76</v>
      </c>
      <c r="R34">
        <v>139565</v>
      </c>
      <c r="T34">
        <v>25.76</v>
      </c>
    </row>
    <row r="35" spans="12:20" x14ac:dyDescent="0.2">
      <c r="L35">
        <v>1570</v>
      </c>
      <c r="M35">
        <v>0.73199999999999998</v>
      </c>
      <c r="N35">
        <v>1570</v>
      </c>
      <c r="O35">
        <v>3.722</v>
      </c>
      <c r="P35">
        <v>25.35</v>
      </c>
      <c r="R35">
        <v>140217</v>
      </c>
      <c r="T35">
        <v>25.35</v>
      </c>
    </row>
    <row r="36" spans="12:20" x14ac:dyDescent="0.2">
      <c r="L36">
        <v>1575</v>
      </c>
      <c r="M36">
        <v>0.60299999999999998</v>
      </c>
      <c r="N36">
        <v>1575</v>
      </c>
      <c r="O36">
        <v>3.871</v>
      </c>
      <c r="P36">
        <v>25.79</v>
      </c>
      <c r="R36">
        <v>140870</v>
      </c>
      <c r="T36">
        <v>25.79</v>
      </c>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C7B921D8-D5EC-AE4D-B5FF-D9F8F0DBD649}"/>
  </hyperlinks>
  <pageMargins left="0.75" right="0.75" top="1" bottom="1" header="0.5" footer="0.5"/>
  <pageSetup orientation="portrait" horizontalDpi="4294967292" verticalDpi="4294967292"/>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15A70-A833-7043-A12A-A92A0BF87F71}">
  <sheetPr>
    <tabColor rgb="FF0000FF"/>
  </sheetPr>
  <dimension ref="A1:AB200"/>
  <sheetViews>
    <sheetView topLeftCell="C1" zoomScale="88" workbookViewId="0">
      <selection activeCell="R18" sqref="R18"/>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83</v>
      </c>
      <c r="B2" s="12">
        <v>101.43</v>
      </c>
      <c r="C2" s="12">
        <v>3.2</v>
      </c>
      <c r="D2" s="10" t="s">
        <v>84</v>
      </c>
      <c r="E2" s="6"/>
      <c r="F2" s="6"/>
      <c r="G2" s="6"/>
      <c r="L2"/>
      <c r="M2"/>
      <c r="N2">
        <v>240</v>
      </c>
      <c r="O2"/>
      <c r="P2"/>
      <c r="Q2" s="1"/>
      <c r="R2">
        <v>115839</v>
      </c>
      <c r="T2">
        <v>19.8</v>
      </c>
      <c r="V2" s="6" t="s">
        <v>86</v>
      </c>
      <c r="W2" s="13" t="s">
        <v>87</v>
      </c>
      <c r="Z2">
        <v>-3120</v>
      </c>
      <c r="AA2"/>
      <c r="AB2"/>
    </row>
    <row r="3" spans="1:28" x14ac:dyDescent="0.2">
      <c r="E3" s="6"/>
      <c r="F3" s="6"/>
      <c r="G3" s="6"/>
      <c r="L3"/>
      <c r="M3"/>
      <c r="N3">
        <v>245</v>
      </c>
      <c r="O3"/>
      <c r="P3"/>
      <c r="Q3" s="1"/>
      <c r="R3">
        <v>118258</v>
      </c>
      <c r="T3">
        <v>19.87</v>
      </c>
      <c r="AA3"/>
      <c r="AB3"/>
    </row>
    <row r="4" spans="1:28" x14ac:dyDescent="0.2">
      <c r="E4" s="6"/>
      <c r="F4" s="6"/>
      <c r="G4" s="6"/>
      <c r="L4"/>
      <c r="M4"/>
      <c r="N4">
        <v>255</v>
      </c>
      <c r="O4"/>
      <c r="P4"/>
      <c r="Q4" s="1"/>
      <c r="R4">
        <v>121297</v>
      </c>
      <c r="T4">
        <v>20.52</v>
      </c>
      <c r="AA4"/>
      <c r="AB4"/>
    </row>
    <row r="5" spans="1:28" x14ac:dyDescent="0.2">
      <c r="E5" s="6"/>
      <c r="F5" s="6"/>
      <c r="G5" s="6"/>
      <c r="L5"/>
      <c r="M5"/>
      <c r="N5">
        <v>260</v>
      </c>
      <c r="O5"/>
      <c r="P5"/>
      <c r="Q5" s="1"/>
      <c r="R5">
        <v>122206</v>
      </c>
      <c r="T5">
        <v>19.670000000000002</v>
      </c>
      <c r="AA5"/>
      <c r="AB5"/>
    </row>
    <row r="6" spans="1:28" x14ac:dyDescent="0.2">
      <c r="L6"/>
      <c r="M6"/>
      <c r="N6">
        <v>265</v>
      </c>
      <c r="O6"/>
      <c r="P6"/>
      <c r="Q6" s="1"/>
      <c r="R6">
        <v>122987</v>
      </c>
      <c r="T6">
        <v>19.22</v>
      </c>
      <c r="AA6"/>
      <c r="AB6"/>
    </row>
    <row r="7" spans="1:28" x14ac:dyDescent="0.2">
      <c r="L7"/>
      <c r="M7"/>
      <c r="N7">
        <v>270</v>
      </c>
      <c r="O7"/>
      <c r="P7"/>
      <c r="Q7" s="1"/>
      <c r="R7">
        <v>124057</v>
      </c>
      <c r="T7">
        <v>20.09</v>
      </c>
      <c r="AA7"/>
      <c r="AB7"/>
    </row>
    <row r="8" spans="1:28" x14ac:dyDescent="0.2">
      <c r="L8"/>
      <c r="M8"/>
      <c r="N8">
        <v>285</v>
      </c>
      <c r="O8"/>
      <c r="P8"/>
      <c r="Q8" s="1"/>
      <c r="R8">
        <v>133885</v>
      </c>
      <c r="T8">
        <v>19.45</v>
      </c>
      <c r="AA8"/>
      <c r="AB8"/>
    </row>
    <row r="9" spans="1:28" x14ac:dyDescent="0.2">
      <c r="L9"/>
      <c r="M9"/>
      <c r="N9">
        <v>290</v>
      </c>
      <c r="O9"/>
      <c r="P9"/>
      <c r="Q9" s="1"/>
      <c r="R9">
        <v>137228</v>
      </c>
      <c r="T9">
        <v>16.489999999999998</v>
      </c>
      <c r="AA9"/>
      <c r="AB9"/>
    </row>
    <row r="10" spans="1:28" x14ac:dyDescent="0.2">
      <c r="L10"/>
      <c r="M10"/>
      <c r="N10"/>
      <c r="O10"/>
      <c r="P10"/>
      <c r="R10"/>
      <c r="T10"/>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DD5771BE-2BB7-6D47-B240-988C269C3868}"/>
  </hyperlinks>
  <pageMargins left="0.75" right="0.75" top="1" bottom="1" header="0.5" footer="0.5"/>
  <pageSetup orientation="portrait" horizontalDpi="4294967292" verticalDpi="429496729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2AF4D-4B94-F64B-BF50-1916706CC669}">
  <sheetPr>
    <tabColor rgb="FF0000FF"/>
  </sheetPr>
  <dimension ref="A1:AB200"/>
  <sheetViews>
    <sheetView zoomScale="62" workbookViewId="0">
      <selection activeCell="N20" sqref="N20"/>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85</v>
      </c>
      <c r="B2" s="12">
        <v>96.08</v>
      </c>
      <c r="C2" s="12">
        <v>0.1</v>
      </c>
      <c r="D2" s="10" t="s">
        <v>84</v>
      </c>
      <c r="E2" s="6"/>
      <c r="F2" s="6"/>
      <c r="G2" s="6"/>
      <c r="L2"/>
      <c r="M2"/>
      <c r="N2">
        <v>271</v>
      </c>
      <c r="O2"/>
      <c r="P2"/>
      <c r="R2">
        <v>117.39100000000001</v>
      </c>
      <c r="T2">
        <v>24.61</v>
      </c>
      <c r="V2" s="6" t="s">
        <v>86</v>
      </c>
      <c r="W2" s="13" t="s">
        <v>88</v>
      </c>
      <c r="Z2">
        <v>-3231</v>
      </c>
      <c r="AA2"/>
      <c r="AB2"/>
    </row>
    <row r="3" spans="1:28" x14ac:dyDescent="0.2">
      <c r="E3" s="6"/>
      <c r="F3" s="6"/>
      <c r="G3" s="6"/>
      <c r="L3"/>
      <c r="M3"/>
      <c r="N3">
        <v>281</v>
      </c>
      <c r="O3"/>
      <c r="P3"/>
      <c r="R3">
        <v>120.845</v>
      </c>
      <c r="T3">
        <v>26.34</v>
      </c>
      <c r="AA3"/>
      <c r="AB3"/>
    </row>
    <row r="4" spans="1:28" x14ac:dyDescent="0.2">
      <c r="E4" s="6"/>
      <c r="F4" s="6"/>
      <c r="G4" s="6"/>
      <c r="L4"/>
      <c r="M4"/>
      <c r="N4">
        <v>291</v>
      </c>
      <c r="O4"/>
      <c r="P4"/>
      <c r="R4">
        <v>124.51600000000001</v>
      </c>
      <c r="T4">
        <v>24.23</v>
      </c>
      <c r="AA4"/>
      <c r="AB4"/>
    </row>
    <row r="5" spans="1:28" x14ac:dyDescent="0.2">
      <c r="E5" s="6"/>
      <c r="F5" s="6"/>
      <c r="G5" s="6"/>
      <c r="L5"/>
      <c r="M5"/>
      <c r="N5">
        <v>301</v>
      </c>
      <c r="O5"/>
      <c r="P5"/>
      <c r="R5">
        <v>128.51599999999999</v>
      </c>
      <c r="T5">
        <v>23.84</v>
      </c>
      <c r="AA5"/>
      <c r="AB5"/>
    </row>
    <row r="6" spans="1:28" x14ac:dyDescent="0.2">
      <c r="L6"/>
      <c r="M6"/>
      <c r="N6">
        <v>311</v>
      </c>
      <c r="O6"/>
      <c r="P6"/>
      <c r="R6">
        <v>132.37299999999999</v>
      </c>
      <c r="T6">
        <v>23.42</v>
      </c>
      <c r="AA6"/>
      <c r="AB6"/>
    </row>
    <row r="7" spans="1:28" x14ac:dyDescent="0.2">
      <c r="L7"/>
      <c r="M7"/>
      <c r="N7">
        <v>321</v>
      </c>
      <c r="O7"/>
      <c r="P7"/>
      <c r="R7">
        <v>136.84100000000001</v>
      </c>
      <c r="T7">
        <v>21.31</v>
      </c>
      <c r="AA7"/>
      <c r="AB7"/>
    </row>
    <row r="8" spans="1:28" x14ac:dyDescent="0.2">
      <c r="L8"/>
      <c r="M8"/>
      <c r="N8"/>
      <c r="O8"/>
      <c r="P8"/>
      <c r="R8"/>
      <c r="T8"/>
      <c r="AA8"/>
      <c r="AB8"/>
    </row>
    <row r="9" spans="1:28" x14ac:dyDescent="0.2">
      <c r="L9"/>
      <c r="M9"/>
      <c r="N9"/>
      <c r="O9"/>
      <c r="P9"/>
      <c r="R9"/>
      <c r="T9"/>
      <c r="AA9"/>
      <c r="AB9"/>
    </row>
    <row r="10" spans="1:28" x14ac:dyDescent="0.2">
      <c r="L10"/>
      <c r="M10"/>
      <c r="N10"/>
      <c r="O10"/>
      <c r="P10"/>
      <c r="R10"/>
      <c r="T10"/>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3FF6EC83-986A-9340-8975-D4E375F07356}"/>
  </hyperlinks>
  <pageMargins left="0.75" right="0.75" top="1" bottom="1" header="0.5" footer="0.5"/>
  <pageSetup orientation="portrait" horizontalDpi="4294967292" verticalDpi="429496729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2F91-A00C-304E-B8E0-753EC3508EC9}">
  <sheetPr>
    <tabColor rgb="FF0000FF"/>
  </sheetPr>
  <dimension ref="A1:AB200"/>
  <sheetViews>
    <sheetView zoomScale="62"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90</v>
      </c>
      <c r="B2" s="12">
        <v>104.5</v>
      </c>
      <c r="C2" s="12">
        <v>-1.38</v>
      </c>
      <c r="D2" s="10" t="s">
        <v>84</v>
      </c>
      <c r="E2" s="6"/>
      <c r="F2" s="6"/>
      <c r="G2" s="6"/>
      <c r="L2"/>
      <c r="M2"/>
      <c r="N2">
        <v>195</v>
      </c>
      <c r="R2">
        <v>115.432</v>
      </c>
      <c r="T2">
        <v>23.91</v>
      </c>
      <c r="V2" s="6" t="s">
        <v>86</v>
      </c>
      <c r="W2" s="13" t="s">
        <v>89</v>
      </c>
      <c r="Z2">
        <v>-3621</v>
      </c>
      <c r="AA2"/>
      <c r="AB2"/>
    </row>
    <row r="3" spans="1:28" x14ac:dyDescent="0.2">
      <c r="E3" s="6"/>
      <c r="F3" s="6"/>
      <c r="G3" s="6"/>
      <c r="L3"/>
      <c r="M3"/>
      <c r="N3">
        <v>205</v>
      </c>
      <c r="R3">
        <v>122.10899999999999</v>
      </c>
      <c r="T3">
        <v>23.53</v>
      </c>
      <c r="AA3"/>
      <c r="AB3"/>
    </row>
    <row r="4" spans="1:28" x14ac:dyDescent="0.2">
      <c r="E4" s="6"/>
      <c r="F4" s="6"/>
      <c r="G4" s="6"/>
      <c r="L4"/>
      <c r="M4"/>
      <c r="N4">
        <v>210</v>
      </c>
      <c r="R4">
        <v>124.773</v>
      </c>
      <c r="T4">
        <v>22.92</v>
      </c>
      <c r="AA4"/>
      <c r="AB4"/>
    </row>
    <row r="5" spans="1:28" x14ac:dyDescent="0.2">
      <c r="E5" s="6"/>
      <c r="F5" s="6"/>
      <c r="G5" s="6"/>
      <c r="L5"/>
      <c r="M5"/>
      <c r="N5">
        <v>215</v>
      </c>
      <c r="R5">
        <v>126.515</v>
      </c>
      <c r="T5">
        <v>23.07</v>
      </c>
      <c r="AA5"/>
      <c r="AB5"/>
    </row>
    <row r="6" spans="1:28" x14ac:dyDescent="0.2">
      <c r="L6"/>
      <c r="M6"/>
      <c r="N6">
        <v>220</v>
      </c>
      <c r="R6">
        <v>128.16</v>
      </c>
      <c r="T6">
        <v>22</v>
      </c>
      <c r="AA6"/>
      <c r="AB6"/>
    </row>
    <row r="7" spans="1:28" x14ac:dyDescent="0.2">
      <c r="L7"/>
      <c r="M7"/>
      <c r="N7">
        <v>225</v>
      </c>
      <c r="R7">
        <v>130.35</v>
      </c>
      <c r="T7">
        <v>21.17</v>
      </c>
      <c r="AA7"/>
      <c r="AB7"/>
    </row>
    <row r="8" spans="1:28" x14ac:dyDescent="0.2">
      <c r="L8"/>
      <c r="M8"/>
      <c r="N8">
        <v>230</v>
      </c>
      <c r="R8">
        <v>135.30000000000001</v>
      </c>
      <c r="T8">
        <v>22.93</v>
      </c>
      <c r="AA8"/>
      <c r="AB8"/>
    </row>
    <row r="9" spans="1:28" x14ac:dyDescent="0.2">
      <c r="L9"/>
      <c r="M9"/>
      <c r="N9">
        <v>235</v>
      </c>
      <c r="R9">
        <v>137.85</v>
      </c>
      <c r="T9">
        <v>22.46</v>
      </c>
      <c r="AA9"/>
      <c r="AB9"/>
    </row>
    <row r="10" spans="1:28" x14ac:dyDescent="0.2">
      <c r="L10"/>
      <c r="M10"/>
      <c r="N10">
        <v>240</v>
      </c>
      <c r="R10">
        <v>140.167</v>
      </c>
      <c r="T10">
        <v>22.98</v>
      </c>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8C13A-22CF-E54D-BC0D-FE3373E02941}">
  <sheetPr>
    <tabColor rgb="FF0000FF"/>
  </sheetPr>
  <dimension ref="A1:AB200"/>
  <sheetViews>
    <sheetView topLeftCell="B1"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91</v>
      </c>
      <c r="B2" s="12">
        <v>83.57</v>
      </c>
      <c r="C2" s="12">
        <v>-3.25</v>
      </c>
      <c r="D2" s="10" t="s">
        <v>84</v>
      </c>
      <c r="E2" s="6"/>
      <c r="F2" s="6"/>
      <c r="G2" s="6"/>
      <c r="L2"/>
      <c r="M2"/>
      <c r="N2" s="25">
        <v>800</v>
      </c>
      <c r="R2" s="25">
        <v>117.389</v>
      </c>
      <c r="T2" s="25">
        <v>19.32</v>
      </c>
      <c r="V2" s="6" t="s">
        <v>86</v>
      </c>
      <c r="W2" s="13" t="s">
        <v>92</v>
      </c>
      <c r="Z2">
        <v>-3159</v>
      </c>
      <c r="AA2"/>
      <c r="AB2"/>
    </row>
    <row r="3" spans="1:28" x14ac:dyDescent="0.2">
      <c r="E3" s="6"/>
      <c r="F3" s="6"/>
      <c r="G3" s="6"/>
      <c r="L3"/>
      <c r="M3"/>
      <c r="N3" s="25">
        <v>810</v>
      </c>
      <c r="R3" s="25">
        <v>120.38</v>
      </c>
      <c r="T3" s="25">
        <v>22.07</v>
      </c>
      <c r="AA3"/>
      <c r="AB3"/>
    </row>
    <row r="4" spans="1:28" x14ac:dyDescent="0.2">
      <c r="E4" s="6"/>
      <c r="F4" s="6"/>
      <c r="G4" s="6"/>
      <c r="L4"/>
      <c r="M4"/>
      <c r="N4" s="25">
        <v>820</v>
      </c>
      <c r="R4" s="25">
        <v>122.92700000000001</v>
      </c>
      <c r="T4" s="25">
        <v>21.82</v>
      </c>
      <c r="AA4"/>
      <c r="AB4"/>
    </row>
    <row r="5" spans="1:28" x14ac:dyDescent="0.2">
      <c r="E5" s="6"/>
      <c r="F5" s="6"/>
      <c r="G5" s="6"/>
      <c r="L5"/>
      <c r="M5"/>
      <c r="N5" s="25">
        <v>830</v>
      </c>
      <c r="R5" s="25">
        <v>124.422</v>
      </c>
      <c r="T5" s="25">
        <v>21.32</v>
      </c>
      <c r="AA5"/>
      <c r="AB5"/>
    </row>
    <row r="6" spans="1:28" x14ac:dyDescent="0.2">
      <c r="L6"/>
      <c r="M6"/>
      <c r="N6" s="25">
        <v>840</v>
      </c>
      <c r="R6" s="25">
        <v>125.837</v>
      </c>
      <c r="T6" s="25">
        <v>20.16</v>
      </c>
      <c r="AA6"/>
      <c r="AB6"/>
    </row>
    <row r="7" spans="1:28" x14ac:dyDescent="0.2">
      <c r="L7"/>
      <c r="M7"/>
      <c r="N7" s="25">
        <v>850</v>
      </c>
      <c r="R7" s="25">
        <v>127.453</v>
      </c>
      <c r="T7" s="25">
        <v>21.85</v>
      </c>
      <c r="AA7"/>
      <c r="AB7"/>
    </row>
    <row r="8" spans="1:28" x14ac:dyDescent="0.2">
      <c r="L8"/>
      <c r="M8"/>
      <c r="N8" s="25">
        <v>860</v>
      </c>
      <c r="R8" s="25">
        <v>129.05199999999999</v>
      </c>
      <c r="T8" s="25">
        <v>21.54</v>
      </c>
      <c r="AA8"/>
      <c r="AB8"/>
    </row>
    <row r="9" spans="1:28" x14ac:dyDescent="0.2">
      <c r="L9"/>
      <c r="M9"/>
      <c r="N9" s="25">
        <v>870</v>
      </c>
      <c r="R9" s="25">
        <v>130.59299999999999</v>
      </c>
      <c r="T9" s="25">
        <v>21.14</v>
      </c>
      <c r="AA9"/>
      <c r="AB9"/>
    </row>
    <row r="10" spans="1:28" x14ac:dyDescent="0.2">
      <c r="L10"/>
      <c r="M10"/>
      <c r="N10" s="25">
        <v>890</v>
      </c>
      <c r="R10" s="25">
        <v>133.53399999999999</v>
      </c>
      <c r="T10" s="25">
        <v>18.54</v>
      </c>
      <c r="AA10"/>
      <c r="AB10"/>
    </row>
    <row r="11" spans="1:28" x14ac:dyDescent="0.2">
      <c r="L11"/>
      <c r="M11"/>
      <c r="N11" s="25">
        <v>920</v>
      </c>
      <c r="R11" s="25">
        <v>137.54599999999999</v>
      </c>
      <c r="T11" s="25">
        <v>19.649999999999999</v>
      </c>
      <c r="AA11"/>
      <c r="AB11"/>
    </row>
    <row r="12" spans="1:28" x14ac:dyDescent="0.2">
      <c r="L12"/>
      <c r="M12"/>
      <c r="N12" s="25">
        <v>930</v>
      </c>
      <c r="R12" s="25">
        <v>138.65199999999999</v>
      </c>
      <c r="T12" s="25">
        <v>18.47</v>
      </c>
      <c r="AA12"/>
      <c r="AB12"/>
    </row>
    <row r="13" spans="1:28" x14ac:dyDescent="0.2">
      <c r="L13"/>
      <c r="M13"/>
      <c r="N13" s="25">
        <v>940</v>
      </c>
      <c r="R13" s="25">
        <v>139.721</v>
      </c>
      <c r="T13" s="25">
        <v>18.38</v>
      </c>
      <c r="AA13"/>
      <c r="AB13"/>
    </row>
    <row r="14" spans="1:28" x14ac:dyDescent="0.2">
      <c r="L14"/>
      <c r="M14"/>
      <c r="N14" s="25">
        <v>950</v>
      </c>
      <c r="R14" s="25">
        <v>140.857</v>
      </c>
      <c r="T14" s="25">
        <v>17.98</v>
      </c>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38BF83D-4703-4A49-8CDB-9AD6D3A1A00E}"/>
  </hyperlinks>
  <pageMargins left="0.75" right="0.75" top="1" bottom="1" header="0.5" footer="0.5"/>
  <pageSetup orientation="portrait" horizontalDpi="4294967292" verticalDpi="429496729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5CE2C-52F0-3D45-BFD2-3DC45D58B15F}">
  <sheetPr>
    <tabColor rgb="FF0000FF"/>
  </sheetPr>
  <dimension ref="A1:AB200"/>
  <sheetViews>
    <sheetView zoomScale="91"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93</v>
      </c>
      <c r="B2" s="12">
        <v>110.48</v>
      </c>
      <c r="C2" s="12">
        <v>0.03</v>
      </c>
      <c r="D2" s="10" t="s">
        <v>84</v>
      </c>
      <c r="E2" s="6"/>
      <c r="F2" s="6"/>
      <c r="G2" s="6"/>
      <c r="L2"/>
      <c r="M2"/>
      <c r="N2">
        <v>267</v>
      </c>
      <c r="R2">
        <v>116.6</v>
      </c>
      <c r="T2">
        <v>23.62</v>
      </c>
      <c r="V2" s="6" t="s">
        <v>86</v>
      </c>
      <c r="W2" s="13" t="s">
        <v>94</v>
      </c>
      <c r="Z2">
        <v>-3791</v>
      </c>
      <c r="AA2"/>
      <c r="AB2"/>
    </row>
    <row r="3" spans="1:28" x14ac:dyDescent="0.2">
      <c r="E3" s="6"/>
      <c r="F3" s="6"/>
      <c r="G3" s="6"/>
      <c r="L3"/>
      <c r="M3"/>
      <c r="N3">
        <v>272</v>
      </c>
      <c r="R3">
        <v>119.6</v>
      </c>
      <c r="T3">
        <v>23.65</v>
      </c>
      <c r="AA3"/>
      <c r="AB3"/>
    </row>
    <row r="4" spans="1:28" x14ac:dyDescent="0.2">
      <c r="E4" s="6"/>
      <c r="F4" s="6"/>
      <c r="G4" s="6"/>
      <c r="L4"/>
      <c r="M4"/>
      <c r="N4">
        <v>277</v>
      </c>
      <c r="R4">
        <v>122.371</v>
      </c>
      <c r="T4">
        <v>24.44</v>
      </c>
      <c r="AA4"/>
      <c r="AB4"/>
    </row>
    <row r="5" spans="1:28" x14ac:dyDescent="0.2">
      <c r="E5" s="6"/>
      <c r="F5" s="6"/>
      <c r="G5" s="6"/>
      <c r="L5"/>
      <c r="M5"/>
      <c r="N5">
        <v>282</v>
      </c>
      <c r="R5">
        <v>124.229</v>
      </c>
      <c r="T5">
        <v>23.45</v>
      </c>
      <c r="AA5"/>
      <c r="AB5"/>
    </row>
    <row r="6" spans="1:28" x14ac:dyDescent="0.2">
      <c r="L6"/>
      <c r="M6"/>
      <c r="N6">
        <v>287</v>
      </c>
      <c r="R6">
        <v>126.086</v>
      </c>
      <c r="T6">
        <v>23.89</v>
      </c>
      <c r="AA6"/>
      <c r="AB6"/>
    </row>
    <row r="7" spans="1:28" x14ac:dyDescent="0.2">
      <c r="L7"/>
      <c r="M7"/>
      <c r="N7">
        <v>292</v>
      </c>
      <c r="R7">
        <v>127.943</v>
      </c>
      <c r="T7">
        <v>23.62</v>
      </c>
      <c r="AA7"/>
      <c r="AB7"/>
    </row>
    <row r="8" spans="1:28" x14ac:dyDescent="0.2">
      <c r="L8"/>
      <c r="M8"/>
      <c r="N8">
        <v>297</v>
      </c>
      <c r="R8">
        <v>129.80000000000001</v>
      </c>
      <c r="T8">
        <v>24.07</v>
      </c>
      <c r="AA8"/>
      <c r="AB8"/>
    </row>
    <row r="9" spans="1:28" x14ac:dyDescent="0.2">
      <c r="L9"/>
      <c r="M9"/>
      <c r="N9">
        <v>302</v>
      </c>
      <c r="R9">
        <v>131.65700000000001</v>
      </c>
      <c r="T9">
        <v>22.93</v>
      </c>
      <c r="AA9"/>
      <c r="AB9"/>
    </row>
    <row r="10" spans="1:28" x14ac:dyDescent="0.2">
      <c r="L10"/>
      <c r="M10"/>
      <c r="N10">
        <v>307</v>
      </c>
      <c r="R10">
        <v>133.51400000000001</v>
      </c>
      <c r="T10">
        <v>23.2</v>
      </c>
      <c r="AA10"/>
      <c r="AB10"/>
    </row>
    <row r="11" spans="1:28" x14ac:dyDescent="0.2">
      <c r="L11"/>
      <c r="M11"/>
      <c r="N11">
        <v>312</v>
      </c>
      <c r="R11">
        <v>135.27099999999999</v>
      </c>
      <c r="T11">
        <v>22.93</v>
      </c>
      <c r="AA11"/>
      <c r="AB11"/>
    </row>
    <row r="12" spans="1:28" x14ac:dyDescent="0.2">
      <c r="L12"/>
      <c r="M12"/>
      <c r="N12">
        <v>317</v>
      </c>
      <c r="R12">
        <v>136.62700000000001</v>
      </c>
      <c r="T12">
        <v>21.96</v>
      </c>
      <c r="AA12"/>
      <c r="AB12"/>
    </row>
    <row r="13" spans="1:28" x14ac:dyDescent="0.2">
      <c r="L13"/>
      <c r="M13"/>
      <c r="N13">
        <v>322</v>
      </c>
      <c r="R13">
        <v>137.983</v>
      </c>
      <c r="T13">
        <v>24.77</v>
      </c>
      <c r="AA13"/>
      <c r="AB13"/>
    </row>
    <row r="14" spans="1:28" x14ac:dyDescent="0.2">
      <c r="L14"/>
      <c r="M14"/>
      <c r="N14">
        <v>327</v>
      </c>
      <c r="R14">
        <v>139.339</v>
      </c>
      <c r="T14">
        <v>23.11</v>
      </c>
      <c r="AA14"/>
      <c r="AB14"/>
    </row>
    <row r="15" spans="1:28" x14ac:dyDescent="0.2">
      <c r="L15"/>
      <c r="M15"/>
      <c r="N15">
        <v>332</v>
      </c>
      <c r="R15">
        <v>140.69499999999999</v>
      </c>
      <c r="T15">
        <v>21.99</v>
      </c>
      <c r="AA15"/>
      <c r="AB15"/>
    </row>
    <row r="16" spans="1:28" x14ac:dyDescent="0.2">
      <c r="L16"/>
      <c r="M16"/>
      <c r="N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D15D6BA9-308E-CB46-9AE3-F9CF4A2BC115}"/>
  </hyperlinks>
  <pageMargins left="0.75" right="0.75" top="1" bottom="1" header="0.5" footer="0.5"/>
  <pageSetup orientation="portrait" horizontalDpi="4294967292" verticalDpi="429496729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8929F-3AD9-B645-97B4-28C3EE4E7DA2}">
  <sheetPr>
    <tabColor rgb="FF0000FF"/>
  </sheetPr>
  <dimension ref="A1:AB200"/>
  <sheetViews>
    <sheetView zoomScale="92"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95</v>
      </c>
      <c r="B2" s="12">
        <v>86.55</v>
      </c>
      <c r="C2" s="12">
        <v>2.98</v>
      </c>
      <c r="D2" s="10" t="s">
        <v>84</v>
      </c>
      <c r="E2" s="6"/>
      <c r="F2" s="6"/>
      <c r="G2" s="6"/>
      <c r="L2"/>
      <c r="M2"/>
      <c r="N2">
        <v>221</v>
      </c>
      <c r="R2">
        <v>119.553</v>
      </c>
      <c r="T2">
        <v>24.19</v>
      </c>
      <c r="V2" s="6" t="s">
        <v>86</v>
      </c>
      <c r="W2" s="13" t="s">
        <v>96</v>
      </c>
      <c r="Z2">
        <v>-2870</v>
      </c>
      <c r="AA2"/>
      <c r="AB2"/>
    </row>
    <row r="3" spans="1:28" x14ac:dyDescent="0.2">
      <c r="E3" s="6"/>
      <c r="F3" s="6"/>
      <c r="G3" s="6"/>
      <c r="L3"/>
      <c r="M3"/>
      <c r="N3">
        <v>231</v>
      </c>
      <c r="R3">
        <v>122.699</v>
      </c>
      <c r="T3">
        <v>23.7</v>
      </c>
      <c r="AA3"/>
      <c r="AB3"/>
    </row>
    <row r="4" spans="1:28" x14ac:dyDescent="0.2">
      <c r="E4" s="6"/>
      <c r="F4" s="6"/>
      <c r="G4" s="6"/>
      <c r="L4"/>
      <c r="M4"/>
      <c r="N4">
        <v>241</v>
      </c>
      <c r="R4">
        <v>126.233</v>
      </c>
      <c r="T4">
        <v>24.13</v>
      </c>
      <c r="AA4"/>
      <c r="AB4"/>
    </row>
    <row r="5" spans="1:28" x14ac:dyDescent="0.2">
      <c r="E5" s="6"/>
      <c r="F5" s="6"/>
      <c r="G5" s="6"/>
      <c r="L5"/>
      <c r="M5"/>
      <c r="N5">
        <v>251</v>
      </c>
      <c r="R5">
        <v>129.864</v>
      </c>
      <c r="T5">
        <v>25.21</v>
      </c>
      <c r="AA5"/>
      <c r="AB5"/>
    </row>
    <row r="6" spans="1:28" x14ac:dyDescent="0.2">
      <c r="L6"/>
      <c r="M6"/>
      <c r="N6">
        <v>262</v>
      </c>
      <c r="R6">
        <v>135.33000000000001</v>
      </c>
      <c r="T6">
        <v>23.77</v>
      </c>
      <c r="AA6"/>
      <c r="AB6"/>
    </row>
    <row r="7" spans="1:28" x14ac:dyDescent="0.2">
      <c r="L7"/>
      <c r="M7"/>
      <c r="N7">
        <v>272</v>
      </c>
      <c r="R7">
        <v>139.637</v>
      </c>
      <c r="T7">
        <v>23.2</v>
      </c>
      <c r="AA7"/>
      <c r="AB7"/>
    </row>
    <row r="8" spans="1:28" x14ac:dyDescent="0.2">
      <c r="L8"/>
      <c r="M8"/>
      <c r="N8"/>
      <c r="O8"/>
      <c r="P8"/>
      <c r="R8"/>
      <c r="T8"/>
      <c r="AA8"/>
      <c r="AB8"/>
    </row>
    <row r="9" spans="1:28" x14ac:dyDescent="0.2">
      <c r="L9"/>
      <c r="M9"/>
      <c r="N9"/>
      <c r="O9"/>
      <c r="P9"/>
      <c r="R9"/>
      <c r="T9"/>
      <c r="AA9"/>
      <c r="AB9"/>
    </row>
    <row r="10" spans="1:28" x14ac:dyDescent="0.2">
      <c r="L10"/>
      <c r="M10"/>
      <c r="N10"/>
      <c r="O10"/>
      <c r="P10"/>
      <c r="R10"/>
      <c r="T10"/>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2AA7-84E5-F241-A22B-DCB04B4C873C}">
  <sheetPr>
    <tabColor rgb="FF0000FF"/>
  </sheetPr>
  <dimension ref="A1:AB200"/>
  <sheetViews>
    <sheetView zoomScale="62"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97</v>
      </c>
      <c r="B2" s="12">
        <v>86.48</v>
      </c>
      <c r="C2" s="12">
        <v>0.1</v>
      </c>
      <c r="D2" s="10" t="s">
        <v>84</v>
      </c>
      <c r="E2" s="6"/>
      <c r="F2" s="6"/>
      <c r="G2" s="6"/>
      <c r="L2"/>
      <c r="M2"/>
      <c r="N2">
        <v>800</v>
      </c>
      <c r="R2">
        <v>116.545</v>
      </c>
      <c r="T2">
        <v>22.37</v>
      </c>
      <c r="V2" s="6" t="s">
        <v>86</v>
      </c>
      <c r="W2" s="13" t="s">
        <v>98</v>
      </c>
      <c r="Z2">
        <v>-2740</v>
      </c>
      <c r="AA2"/>
      <c r="AB2"/>
    </row>
    <row r="3" spans="1:28" x14ac:dyDescent="0.2">
      <c r="E3" s="6"/>
      <c r="F3" s="6"/>
      <c r="G3" s="6"/>
      <c r="L3"/>
      <c r="M3"/>
      <c r="N3">
        <v>819</v>
      </c>
      <c r="R3">
        <v>121.58799999999999</v>
      </c>
      <c r="T3">
        <v>22.47</v>
      </c>
      <c r="AA3"/>
      <c r="AB3"/>
    </row>
    <row r="4" spans="1:28" x14ac:dyDescent="0.2">
      <c r="E4" s="6"/>
      <c r="F4" s="6"/>
      <c r="G4" s="6"/>
      <c r="L4"/>
      <c r="M4"/>
      <c r="N4">
        <v>839</v>
      </c>
      <c r="R4">
        <v>125.521</v>
      </c>
      <c r="T4">
        <v>22.58</v>
      </c>
      <c r="AA4"/>
      <c r="AB4"/>
    </row>
    <row r="5" spans="1:28" x14ac:dyDescent="0.2">
      <c r="E5" s="6"/>
      <c r="F5" s="6"/>
      <c r="G5" s="6"/>
      <c r="L5"/>
      <c r="M5"/>
      <c r="N5">
        <v>859</v>
      </c>
      <c r="R5">
        <v>129.24299999999999</v>
      </c>
      <c r="T5">
        <v>22.34</v>
      </c>
      <c r="AA5"/>
      <c r="AB5"/>
    </row>
    <row r="6" spans="1:28" x14ac:dyDescent="0.2">
      <c r="L6"/>
      <c r="M6"/>
      <c r="N6">
        <v>919</v>
      </c>
      <c r="R6">
        <v>140.31700000000001</v>
      </c>
      <c r="T6">
        <v>19.97</v>
      </c>
      <c r="AA6"/>
      <c r="AB6"/>
    </row>
    <row r="7" spans="1:28" x14ac:dyDescent="0.2">
      <c r="L7"/>
      <c r="M7"/>
      <c r="N7"/>
      <c r="O7"/>
      <c r="P7"/>
      <c r="R7"/>
      <c r="T7"/>
      <c r="AA7"/>
      <c r="AB7"/>
    </row>
    <row r="8" spans="1:28" x14ac:dyDescent="0.2">
      <c r="L8"/>
      <c r="M8"/>
      <c r="N8"/>
      <c r="O8"/>
      <c r="P8"/>
      <c r="R8"/>
      <c r="T8"/>
      <c r="AA8"/>
      <c r="AB8"/>
    </row>
    <row r="9" spans="1:28" x14ac:dyDescent="0.2">
      <c r="L9"/>
      <c r="M9"/>
      <c r="N9"/>
      <c r="O9"/>
      <c r="P9"/>
      <c r="R9"/>
      <c r="T9"/>
      <c r="AA9"/>
      <c r="AB9"/>
    </row>
    <row r="10" spans="1:28" x14ac:dyDescent="0.2">
      <c r="L10"/>
      <c r="M10"/>
      <c r="N10"/>
      <c r="O10"/>
      <c r="P10"/>
      <c r="R10"/>
      <c r="T10"/>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9AF6A-8FEA-5442-B94B-B118EB034620}">
  <sheetPr>
    <tabColor rgb="FF0000FF"/>
  </sheetPr>
  <dimension ref="A1:AB200"/>
  <sheetViews>
    <sheetView zoomScale="62"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100</v>
      </c>
      <c r="B2" s="12">
        <v>85.25</v>
      </c>
      <c r="C2" s="12">
        <v>7.28</v>
      </c>
      <c r="D2" s="10" t="s">
        <v>84</v>
      </c>
      <c r="E2" s="6"/>
      <c r="F2" s="6"/>
      <c r="G2" s="6"/>
      <c r="L2"/>
      <c r="M2"/>
      <c r="N2">
        <v>370</v>
      </c>
      <c r="R2">
        <v>118.765</v>
      </c>
      <c r="T2">
        <v>23.3</v>
      </c>
      <c r="V2" s="6" t="s">
        <v>86</v>
      </c>
      <c r="W2" s="13" t="s">
        <v>99</v>
      </c>
      <c r="Z2">
        <v>-2164</v>
      </c>
      <c r="AA2"/>
      <c r="AB2"/>
    </row>
    <row r="3" spans="1:28" x14ac:dyDescent="0.2">
      <c r="E3" s="6"/>
      <c r="F3" s="6"/>
      <c r="G3" s="6"/>
      <c r="L3"/>
      <c r="M3"/>
      <c r="N3">
        <v>380</v>
      </c>
      <c r="R3">
        <v>123.622</v>
      </c>
      <c r="T3">
        <v>23.72</v>
      </c>
      <c r="AA3"/>
      <c r="AB3"/>
    </row>
    <row r="4" spans="1:28" x14ac:dyDescent="0.2">
      <c r="E4" s="6"/>
      <c r="F4" s="6"/>
      <c r="G4" s="6"/>
      <c r="L4"/>
      <c r="M4"/>
      <c r="N4">
        <v>390</v>
      </c>
      <c r="R4">
        <v>127.56699999999999</v>
      </c>
      <c r="T4">
        <v>24.25</v>
      </c>
      <c r="AA4"/>
      <c r="AB4"/>
    </row>
    <row r="5" spans="1:28" x14ac:dyDescent="0.2">
      <c r="E5" s="6"/>
      <c r="F5" s="6"/>
      <c r="G5" s="6"/>
      <c r="L5"/>
      <c r="M5"/>
      <c r="N5">
        <v>400</v>
      </c>
      <c r="R5">
        <v>131.28700000000001</v>
      </c>
      <c r="T5">
        <v>25.42</v>
      </c>
      <c r="AA5"/>
      <c r="AB5"/>
    </row>
    <row r="6" spans="1:28" x14ac:dyDescent="0.2">
      <c r="L6"/>
      <c r="M6"/>
      <c r="N6">
        <v>410</v>
      </c>
      <c r="R6">
        <v>135.05799999999999</v>
      </c>
      <c r="T6">
        <v>24.15</v>
      </c>
      <c r="AA6"/>
      <c r="AB6"/>
    </row>
    <row r="7" spans="1:28" x14ac:dyDescent="0.2">
      <c r="L7"/>
      <c r="M7"/>
      <c r="N7">
        <v>420</v>
      </c>
      <c r="R7">
        <v>139.001</v>
      </c>
      <c r="T7">
        <v>23.73</v>
      </c>
      <c r="AA7"/>
      <c r="AB7"/>
    </row>
    <row r="8" spans="1:28" x14ac:dyDescent="0.2">
      <c r="L8"/>
      <c r="M8"/>
      <c r="N8"/>
      <c r="O8"/>
      <c r="P8"/>
      <c r="R8"/>
      <c r="T8"/>
      <c r="AA8"/>
      <c r="AB8"/>
    </row>
    <row r="9" spans="1:28" x14ac:dyDescent="0.2">
      <c r="L9"/>
      <c r="M9"/>
      <c r="N9"/>
      <c r="O9"/>
      <c r="P9"/>
      <c r="R9"/>
      <c r="T9"/>
      <c r="AA9"/>
      <c r="AB9"/>
    </row>
    <row r="10" spans="1:28" x14ac:dyDescent="0.2">
      <c r="L10"/>
      <c r="M10"/>
      <c r="N10"/>
      <c r="O10"/>
      <c r="P10"/>
      <c r="R10"/>
      <c r="T10"/>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735E6-436F-3049-9DC3-932D7D9B9551}">
  <sheetPr>
    <tabColor rgb="FF0000FF"/>
  </sheetPr>
  <dimension ref="A1:AB200"/>
  <sheetViews>
    <sheetView zoomScale="62"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103</v>
      </c>
      <c r="B2" s="12">
        <v>106.95</v>
      </c>
      <c r="C2" s="12">
        <v>-6.63</v>
      </c>
      <c r="D2" s="10" t="s">
        <v>84</v>
      </c>
      <c r="E2" s="6"/>
      <c r="F2" s="6"/>
      <c r="G2" s="6"/>
      <c r="L2"/>
      <c r="M2"/>
      <c r="N2">
        <v>256</v>
      </c>
      <c r="R2">
        <v>117.696</v>
      </c>
      <c r="T2">
        <v>22.99</v>
      </c>
      <c r="V2" s="6" t="s">
        <v>86</v>
      </c>
      <c r="W2" s="13" t="s">
        <v>104</v>
      </c>
      <c r="Z2">
        <v>-3175</v>
      </c>
      <c r="AA2"/>
      <c r="AB2"/>
    </row>
    <row r="3" spans="1:28" x14ac:dyDescent="0.2">
      <c r="E3" s="6"/>
      <c r="F3" s="6"/>
      <c r="G3" s="6"/>
      <c r="L3"/>
      <c r="M3"/>
      <c r="N3">
        <v>261</v>
      </c>
      <c r="R3">
        <v>120.44799999999999</v>
      </c>
      <c r="T3">
        <v>23.93</v>
      </c>
      <c r="AA3"/>
      <c r="AB3"/>
    </row>
    <row r="4" spans="1:28" x14ac:dyDescent="0.2">
      <c r="E4" s="6"/>
      <c r="F4" s="6"/>
      <c r="G4" s="6"/>
      <c r="L4"/>
      <c r="M4"/>
      <c r="N4">
        <v>266</v>
      </c>
      <c r="R4">
        <v>122.583</v>
      </c>
      <c r="T4">
        <v>23.19</v>
      </c>
      <c r="AA4"/>
      <c r="AB4"/>
    </row>
    <row r="5" spans="1:28" x14ac:dyDescent="0.2">
      <c r="E5" s="6"/>
      <c r="F5" s="6"/>
      <c r="G5" s="6"/>
      <c r="L5"/>
      <c r="M5"/>
      <c r="N5">
        <v>271</v>
      </c>
      <c r="R5">
        <v>124.411</v>
      </c>
      <c r="T5">
        <v>22.54</v>
      </c>
      <c r="AA5"/>
      <c r="AB5"/>
    </row>
    <row r="6" spans="1:28" x14ac:dyDescent="0.2">
      <c r="L6"/>
      <c r="M6"/>
      <c r="N6">
        <v>276</v>
      </c>
      <c r="R6">
        <v>125.935</v>
      </c>
      <c r="T6">
        <v>24.28</v>
      </c>
      <c r="AA6"/>
      <c r="AB6"/>
    </row>
    <row r="7" spans="1:28" x14ac:dyDescent="0.2">
      <c r="L7"/>
      <c r="M7"/>
      <c r="N7">
        <v>281</v>
      </c>
      <c r="R7">
        <v>127.5</v>
      </c>
      <c r="T7">
        <v>23.8</v>
      </c>
      <c r="AA7"/>
      <c r="AB7"/>
    </row>
    <row r="8" spans="1:28" x14ac:dyDescent="0.2">
      <c r="L8"/>
      <c r="M8"/>
      <c r="N8">
        <v>286</v>
      </c>
      <c r="R8">
        <v>129.24799999999999</v>
      </c>
      <c r="T8">
        <v>24.03</v>
      </c>
      <c r="AA8"/>
      <c r="AB8"/>
    </row>
    <row r="9" spans="1:28" x14ac:dyDescent="0.2">
      <c r="L9"/>
      <c r="M9"/>
      <c r="N9">
        <v>291</v>
      </c>
      <c r="R9">
        <v>131.191</v>
      </c>
      <c r="T9">
        <v>22.37</v>
      </c>
      <c r="AA9"/>
      <c r="AB9"/>
    </row>
    <row r="10" spans="1:28" x14ac:dyDescent="0.2">
      <c r="L10"/>
      <c r="M10"/>
      <c r="N10">
        <v>296</v>
      </c>
      <c r="R10">
        <v>133.40899999999999</v>
      </c>
      <c r="T10">
        <v>21.96</v>
      </c>
      <c r="AA10"/>
      <c r="AB10"/>
    </row>
    <row r="11" spans="1:28" x14ac:dyDescent="0.2">
      <c r="L11"/>
      <c r="M11"/>
      <c r="N11">
        <v>306</v>
      </c>
      <c r="R11">
        <v>138.38200000000001</v>
      </c>
      <c r="T11">
        <v>23.09</v>
      </c>
      <c r="AA11"/>
      <c r="AB11"/>
    </row>
    <row r="12" spans="1:28" x14ac:dyDescent="0.2">
      <c r="L12"/>
      <c r="M12"/>
      <c r="N12">
        <v>311</v>
      </c>
      <c r="R12">
        <v>140.93799999999999</v>
      </c>
      <c r="T12">
        <v>22.97</v>
      </c>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2BFE4-E708-3644-ADB3-D9E4BCE4B5B4}">
  <sheetPr>
    <tabColor rgb="FF0000FF"/>
  </sheetPr>
  <dimension ref="A1:AB200"/>
  <sheetViews>
    <sheetView zoomScale="62"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102</v>
      </c>
      <c r="B2" s="12">
        <v>77.569999999999993</v>
      </c>
      <c r="C2" s="12">
        <v>-16.45</v>
      </c>
      <c r="D2" s="10" t="s">
        <v>84</v>
      </c>
      <c r="E2" s="6"/>
      <c r="F2" s="6"/>
      <c r="G2" s="6"/>
      <c r="L2"/>
      <c r="M2"/>
      <c r="N2">
        <v>180</v>
      </c>
      <c r="R2">
        <v>115.70399999999999</v>
      </c>
      <c r="T2">
        <v>17.82</v>
      </c>
      <c r="V2" s="6" t="s">
        <v>86</v>
      </c>
      <c r="W2" s="13" t="s">
        <v>101</v>
      </c>
      <c r="Z2">
        <v>-2734</v>
      </c>
      <c r="AA2"/>
      <c r="AB2"/>
    </row>
    <row r="3" spans="1:28" x14ac:dyDescent="0.2">
      <c r="E3" s="6"/>
      <c r="F3" s="6"/>
      <c r="G3" s="6"/>
      <c r="L3"/>
      <c r="M3"/>
      <c r="N3">
        <v>185</v>
      </c>
      <c r="R3">
        <v>120.31399999999999</v>
      </c>
      <c r="T3">
        <v>17.91</v>
      </c>
      <c r="AA3"/>
      <c r="AB3"/>
    </row>
    <row r="4" spans="1:28" x14ac:dyDescent="0.2">
      <c r="E4" s="6"/>
      <c r="F4" s="6"/>
      <c r="G4" s="6"/>
      <c r="L4"/>
      <c r="M4"/>
      <c r="N4">
        <v>190</v>
      </c>
      <c r="R4">
        <v>128.548</v>
      </c>
      <c r="T4">
        <v>14.93</v>
      </c>
      <c r="AA4"/>
      <c r="AB4"/>
    </row>
    <row r="5" spans="1:28" x14ac:dyDescent="0.2">
      <c r="E5" s="6"/>
      <c r="F5" s="6"/>
      <c r="G5" s="6"/>
      <c r="L5"/>
      <c r="M5"/>
      <c r="N5">
        <v>195</v>
      </c>
      <c r="R5">
        <v>134.34800000000001</v>
      </c>
      <c r="T5">
        <v>14.53</v>
      </c>
      <c r="AA5"/>
      <c r="AB5"/>
    </row>
    <row r="6" spans="1:28" x14ac:dyDescent="0.2">
      <c r="L6"/>
      <c r="M6"/>
      <c r="N6">
        <v>200</v>
      </c>
      <c r="R6">
        <v>137.93199999999999</v>
      </c>
      <c r="T6">
        <v>14.97</v>
      </c>
      <c r="AA6"/>
      <c r="AB6"/>
    </row>
    <row r="7" spans="1:28" x14ac:dyDescent="0.2">
      <c r="L7"/>
      <c r="M7"/>
      <c r="N7"/>
      <c r="O7"/>
      <c r="P7"/>
      <c r="R7"/>
      <c r="T7"/>
      <c r="AA7"/>
      <c r="AB7"/>
    </row>
    <row r="8" spans="1:28" x14ac:dyDescent="0.2">
      <c r="L8"/>
      <c r="M8"/>
      <c r="N8"/>
      <c r="O8"/>
      <c r="P8"/>
      <c r="R8"/>
      <c r="T8"/>
      <c r="AA8"/>
      <c r="AB8"/>
    </row>
    <row r="9" spans="1:28" x14ac:dyDescent="0.2">
      <c r="L9"/>
      <c r="M9"/>
      <c r="N9"/>
      <c r="O9"/>
      <c r="P9"/>
      <c r="R9"/>
      <c r="T9"/>
      <c r="AA9"/>
      <c r="AB9"/>
    </row>
    <row r="10" spans="1:28" x14ac:dyDescent="0.2">
      <c r="L10"/>
      <c r="M10"/>
      <c r="N10"/>
      <c r="O10"/>
      <c r="P10"/>
      <c r="R10"/>
      <c r="T10"/>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554B1-B71B-FE4C-9A81-365FF1FD0FC5}">
  <sheetPr>
    <tabColor rgb="FF0000FF"/>
  </sheetPr>
  <dimension ref="A1:AB200"/>
  <sheetViews>
    <sheetView topLeftCell="C1" zoomScale="70" workbookViewId="0">
      <selection activeCell="S15" sqref="S15"/>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105</v>
      </c>
      <c r="B2" s="12">
        <v>-82.080830000000006</v>
      </c>
      <c r="C2" s="12">
        <v>-0.67200000000000004</v>
      </c>
      <c r="D2" s="10" t="s">
        <v>11</v>
      </c>
      <c r="E2" s="6"/>
      <c r="F2" s="6"/>
      <c r="G2" s="6"/>
      <c r="L2">
        <v>3.3</v>
      </c>
      <c r="M2">
        <v>3.65</v>
      </c>
      <c r="Q2" s="1"/>
      <c r="R2">
        <v>115290</v>
      </c>
      <c r="T2">
        <v>26.45</v>
      </c>
      <c r="V2" s="6" t="s">
        <v>108</v>
      </c>
      <c r="W2" s="13" t="s">
        <v>107</v>
      </c>
      <c r="X2" s="6" t="s">
        <v>106</v>
      </c>
      <c r="Y2" s="6" t="s">
        <v>109</v>
      </c>
      <c r="Z2">
        <v>-1414</v>
      </c>
      <c r="AA2"/>
      <c r="AB2"/>
    </row>
    <row r="3" spans="1:28" x14ac:dyDescent="0.2">
      <c r="E3" s="6"/>
      <c r="F3" s="6"/>
      <c r="G3" s="6"/>
      <c r="L3">
        <v>3.45</v>
      </c>
      <c r="M3">
        <v>3.43</v>
      </c>
      <c r="Q3" s="1"/>
      <c r="R3">
        <v>115830</v>
      </c>
      <c r="T3">
        <v>26.48</v>
      </c>
      <c r="AA3"/>
      <c r="AB3"/>
    </row>
    <row r="4" spans="1:28" x14ac:dyDescent="0.2">
      <c r="E4" s="6"/>
      <c r="F4" s="6"/>
      <c r="G4" s="6"/>
      <c r="L4">
        <v>3.53</v>
      </c>
      <c r="M4">
        <v>4.3899999999999997</v>
      </c>
      <c r="Q4" s="1"/>
      <c r="R4">
        <v>116630</v>
      </c>
      <c r="T4">
        <v>26.55</v>
      </c>
      <c r="AA4"/>
      <c r="AB4"/>
    </row>
    <row r="5" spans="1:28" x14ac:dyDescent="0.2">
      <c r="E5" s="6"/>
      <c r="F5" s="6"/>
      <c r="G5" s="6"/>
      <c r="L5">
        <v>3.61</v>
      </c>
      <c r="M5">
        <v>4.08</v>
      </c>
      <c r="Q5" s="1"/>
      <c r="R5">
        <v>117170</v>
      </c>
      <c r="T5">
        <v>26.45</v>
      </c>
      <c r="AA5"/>
      <c r="AB5"/>
    </row>
    <row r="6" spans="1:28" x14ac:dyDescent="0.2">
      <c r="L6">
        <v>3.69</v>
      </c>
      <c r="M6">
        <v>3.25</v>
      </c>
      <c r="Q6" s="1"/>
      <c r="R6">
        <v>117710</v>
      </c>
      <c r="T6">
        <v>26.48</v>
      </c>
      <c r="AA6"/>
      <c r="AB6"/>
    </row>
    <row r="7" spans="1:28" x14ac:dyDescent="0.2">
      <c r="L7">
        <v>3.77</v>
      </c>
      <c r="M7">
        <v>3.91</v>
      </c>
      <c r="P7"/>
      <c r="Q7" s="1"/>
      <c r="R7">
        <v>118250</v>
      </c>
      <c r="T7">
        <v>26.55</v>
      </c>
      <c r="AA7"/>
      <c r="AB7"/>
    </row>
    <row r="8" spans="1:28" x14ac:dyDescent="0.2">
      <c r="L8">
        <v>3.85</v>
      </c>
      <c r="M8">
        <v>4.47</v>
      </c>
      <c r="P8"/>
      <c r="Q8" s="1"/>
      <c r="R8">
        <v>118790</v>
      </c>
      <c r="T8">
        <v>26.42</v>
      </c>
      <c r="AA8"/>
      <c r="AB8"/>
    </row>
    <row r="9" spans="1:28" x14ac:dyDescent="0.2">
      <c r="L9">
        <v>3.93</v>
      </c>
      <c r="M9">
        <v>4.72</v>
      </c>
      <c r="P9"/>
      <c r="Q9" s="1"/>
      <c r="R9">
        <v>118930</v>
      </c>
      <c r="T9">
        <v>25.35</v>
      </c>
      <c r="AA9"/>
      <c r="AB9"/>
    </row>
    <row r="10" spans="1:28" x14ac:dyDescent="0.2">
      <c r="L10">
        <v>4.01</v>
      </c>
      <c r="M10">
        <v>4.3099999999999996</v>
      </c>
      <c r="P10"/>
      <c r="Q10" s="1"/>
      <c r="R10">
        <v>119330</v>
      </c>
      <c r="T10">
        <v>26.58</v>
      </c>
      <c r="AA10"/>
      <c r="AB10"/>
    </row>
    <row r="11" spans="1:28" x14ac:dyDescent="0.2">
      <c r="L11">
        <v>4.09</v>
      </c>
      <c r="M11">
        <v>4.63</v>
      </c>
      <c r="P11"/>
      <c r="Q11" s="1"/>
      <c r="R11">
        <v>119870</v>
      </c>
      <c r="T11">
        <v>26.52</v>
      </c>
      <c r="AA11"/>
      <c r="AB11"/>
    </row>
    <row r="12" spans="1:28" x14ac:dyDescent="0.2">
      <c r="L12"/>
      <c r="M12"/>
      <c r="N12"/>
      <c r="O12"/>
      <c r="P12"/>
      <c r="Q12" s="1"/>
      <c r="R12">
        <v>120410</v>
      </c>
      <c r="T12">
        <v>26.64</v>
      </c>
      <c r="AA12"/>
      <c r="AB12"/>
    </row>
    <row r="13" spans="1:28" x14ac:dyDescent="0.2">
      <c r="L13"/>
      <c r="M13"/>
      <c r="N13"/>
      <c r="O13"/>
      <c r="P13"/>
      <c r="Q13" s="1"/>
      <c r="R13">
        <v>120950</v>
      </c>
      <c r="T13">
        <v>26.55</v>
      </c>
      <c r="AA13"/>
      <c r="AB13"/>
    </row>
    <row r="14" spans="1:28" x14ac:dyDescent="0.2">
      <c r="L14"/>
      <c r="M14"/>
      <c r="N14"/>
      <c r="O14"/>
      <c r="P14"/>
      <c r="Q14" s="1"/>
      <c r="R14">
        <v>121090</v>
      </c>
      <c r="T14">
        <v>25.72</v>
      </c>
      <c r="AA14"/>
      <c r="AB14"/>
    </row>
    <row r="15" spans="1:28" x14ac:dyDescent="0.2">
      <c r="L15"/>
      <c r="M15"/>
      <c r="N15"/>
      <c r="O15"/>
      <c r="P15"/>
      <c r="Q15" s="1"/>
      <c r="R15">
        <v>121490</v>
      </c>
      <c r="T15">
        <v>26.55</v>
      </c>
      <c r="AA15"/>
      <c r="AB15"/>
    </row>
    <row r="16" spans="1:28" x14ac:dyDescent="0.2">
      <c r="L16"/>
      <c r="M16"/>
      <c r="N16"/>
      <c r="O16"/>
      <c r="P16"/>
      <c r="Q16" s="1"/>
      <c r="R16">
        <v>122030</v>
      </c>
      <c r="T16">
        <v>26.52</v>
      </c>
    </row>
    <row r="17" spans="12:20" x14ac:dyDescent="0.2">
      <c r="L17"/>
      <c r="M17"/>
      <c r="N17"/>
      <c r="O17"/>
      <c r="P17"/>
      <c r="Q17" s="1"/>
      <c r="R17">
        <v>122570</v>
      </c>
      <c r="T17">
        <v>26.55</v>
      </c>
    </row>
    <row r="18" spans="12:20" x14ac:dyDescent="0.2">
      <c r="L18"/>
      <c r="M18"/>
      <c r="N18"/>
      <c r="O18"/>
      <c r="P18"/>
      <c r="Q18" s="1"/>
      <c r="R18">
        <v>123110</v>
      </c>
      <c r="T18">
        <v>26.61</v>
      </c>
    </row>
    <row r="19" spans="12:20" x14ac:dyDescent="0.2">
      <c r="L19"/>
      <c r="M19"/>
      <c r="N19"/>
      <c r="O19"/>
      <c r="P19"/>
      <c r="Q19" s="1"/>
      <c r="R19">
        <v>123250</v>
      </c>
      <c r="T19">
        <v>26.15</v>
      </c>
    </row>
    <row r="20" spans="12:20" x14ac:dyDescent="0.2">
      <c r="L20"/>
      <c r="M20"/>
      <c r="N20"/>
      <c r="O20"/>
      <c r="P20"/>
      <c r="Q20" s="1"/>
      <c r="R20">
        <v>123650</v>
      </c>
      <c r="T20">
        <v>26.55</v>
      </c>
    </row>
    <row r="21" spans="12:20" x14ac:dyDescent="0.2">
      <c r="L21"/>
      <c r="M21"/>
      <c r="N21"/>
      <c r="O21"/>
      <c r="P21"/>
      <c r="Q21" s="1"/>
      <c r="R21">
        <v>124190</v>
      </c>
      <c r="T21">
        <v>26.64</v>
      </c>
    </row>
    <row r="22" spans="12:20" x14ac:dyDescent="0.2">
      <c r="L22"/>
      <c r="M22"/>
      <c r="N22"/>
      <c r="O22"/>
      <c r="P22"/>
      <c r="Q22" s="1"/>
      <c r="R22">
        <v>124730</v>
      </c>
      <c r="T22">
        <v>26.67</v>
      </c>
    </row>
    <row r="23" spans="12:20" x14ac:dyDescent="0.2">
      <c r="L23"/>
      <c r="M23"/>
      <c r="N23"/>
      <c r="O23"/>
      <c r="P23"/>
      <c r="Q23" s="1"/>
      <c r="R23">
        <v>125390</v>
      </c>
      <c r="T23">
        <v>26.61</v>
      </c>
    </row>
    <row r="24" spans="12:20" x14ac:dyDescent="0.2">
      <c r="L24"/>
      <c r="M24"/>
      <c r="N24"/>
      <c r="O24"/>
      <c r="P24"/>
      <c r="Q24" s="1"/>
      <c r="R24">
        <v>125580</v>
      </c>
      <c r="T24">
        <v>26.1</v>
      </c>
    </row>
    <row r="25" spans="12:20" x14ac:dyDescent="0.2">
      <c r="L25"/>
      <c r="M25"/>
      <c r="N25"/>
      <c r="O25"/>
      <c r="P25"/>
      <c r="Q25" s="1"/>
      <c r="R25">
        <v>126160</v>
      </c>
      <c r="T25">
        <v>26.64</v>
      </c>
    </row>
    <row r="26" spans="12:20" x14ac:dyDescent="0.2">
      <c r="L26"/>
      <c r="M26"/>
      <c r="N26"/>
      <c r="O26"/>
      <c r="P26"/>
      <c r="Q26" s="1"/>
      <c r="R26">
        <v>126940</v>
      </c>
      <c r="T26">
        <v>26.55</v>
      </c>
    </row>
    <row r="27" spans="12:20" x14ac:dyDescent="0.2">
      <c r="L27"/>
      <c r="M27"/>
      <c r="N27"/>
      <c r="O27"/>
      <c r="P27"/>
      <c r="Q27" s="1"/>
      <c r="R27">
        <v>127710</v>
      </c>
      <c r="T27">
        <v>26.58</v>
      </c>
    </row>
    <row r="28" spans="12:20" x14ac:dyDescent="0.2">
      <c r="L28"/>
      <c r="M28"/>
      <c r="N28"/>
      <c r="O28"/>
      <c r="P28"/>
      <c r="Q28" s="1"/>
      <c r="R28">
        <v>128490.00000000001</v>
      </c>
      <c r="T28">
        <v>26.64</v>
      </c>
    </row>
    <row r="29" spans="12:20" x14ac:dyDescent="0.2">
      <c r="L29"/>
      <c r="M29"/>
      <c r="N29"/>
      <c r="O29"/>
      <c r="P29"/>
      <c r="Q29" s="1"/>
      <c r="R29">
        <v>128680</v>
      </c>
      <c r="T29">
        <v>26.2</v>
      </c>
    </row>
    <row r="30" spans="12:20" x14ac:dyDescent="0.2">
      <c r="L30"/>
      <c r="M30"/>
      <c r="N30"/>
      <c r="O30"/>
      <c r="P30"/>
      <c r="Q30" s="1"/>
      <c r="R30">
        <v>129259.99999999999</v>
      </c>
      <c r="T30">
        <v>26.58</v>
      </c>
    </row>
    <row r="31" spans="12:20" x14ac:dyDescent="0.2">
      <c r="L31"/>
      <c r="M31"/>
      <c r="N31"/>
      <c r="O31"/>
      <c r="P31"/>
      <c r="Q31" s="1"/>
      <c r="R31">
        <v>130039.99999999999</v>
      </c>
      <c r="T31">
        <v>26.58</v>
      </c>
    </row>
    <row r="32" spans="12:20" x14ac:dyDescent="0.2">
      <c r="L32"/>
      <c r="M32"/>
      <c r="N32"/>
      <c r="O32"/>
      <c r="P32"/>
      <c r="Q32" s="1"/>
      <c r="R32">
        <v>131590</v>
      </c>
      <c r="T32">
        <v>26.39</v>
      </c>
    </row>
    <row r="33" spans="12:20" x14ac:dyDescent="0.2">
      <c r="L33"/>
      <c r="M33"/>
      <c r="N33"/>
      <c r="O33"/>
      <c r="P33"/>
      <c r="Q33" s="1"/>
      <c r="R33">
        <v>131780</v>
      </c>
      <c r="T33">
        <v>26.54</v>
      </c>
    </row>
    <row r="34" spans="12:20" x14ac:dyDescent="0.2">
      <c r="L34"/>
      <c r="M34"/>
      <c r="N34"/>
      <c r="O34"/>
      <c r="P34"/>
      <c r="Q34" s="1"/>
      <c r="R34">
        <v>133140</v>
      </c>
      <c r="T34">
        <v>25.91</v>
      </c>
    </row>
    <row r="35" spans="12:20" x14ac:dyDescent="0.2">
      <c r="L35"/>
      <c r="M35"/>
      <c r="N35"/>
      <c r="O35"/>
      <c r="P35"/>
      <c r="Q35" s="1"/>
      <c r="R35">
        <v>134690</v>
      </c>
      <c r="T35">
        <v>25.42</v>
      </c>
    </row>
    <row r="36" spans="12:20" x14ac:dyDescent="0.2">
      <c r="L36"/>
      <c r="M36"/>
      <c r="N36"/>
      <c r="O36"/>
      <c r="P36"/>
      <c r="Q36" s="1"/>
      <c r="R36">
        <v>136240</v>
      </c>
      <c r="T36">
        <v>25.24</v>
      </c>
    </row>
    <row r="37" spans="12:20" x14ac:dyDescent="0.2">
      <c r="Q37" s="1"/>
      <c r="R37">
        <v>137010</v>
      </c>
      <c r="T37">
        <v>25.3</v>
      </c>
    </row>
    <row r="38" spans="12:20" x14ac:dyDescent="0.2">
      <c r="Q38" s="1"/>
      <c r="R38">
        <v>137790</v>
      </c>
      <c r="T38">
        <v>25.12</v>
      </c>
    </row>
    <row r="39" spans="12:20" x14ac:dyDescent="0.2">
      <c r="Q39" s="1"/>
      <c r="R39">
        <v>137980</v>
      </c>
      <c r="T39">
        <v>25.14</v>
      </c>
    </row>
    <row r="40" spans="12:20" x14ac:dyDescent="0.2">
      <c r="Q40" s="1"/>
      <c r="R40">
        <v>139340</v>
      </c>
      <c r="T40">
        <v>25.73</v>
      </c>
    </row>
    <row r="41" spans="12:20" x14ac:dyDescent="0.2">
      <c r="Q41" s="1"/>
      <c r="R41">
        <v>140890</v>
      </c>
      <c r="T41">
        <v>25.33</v>
      </c>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8245D3D1-E352-7341-9D1B-FC0F11FCD167}"/>
  </hyperlinks>
  <pageMargins left="0.75" right="0.75" top="1" bottom="1" header="0.5" footer="0.5"/>
  <pageSetup orientation="portrait" horizontalDpi="4294967292" verticalDpi="429496729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68D7C-008E-C742-B9AF-554F021C647F}">
  <sheetPr>
    <tabColor theme="6"/>
  </sheetPr>
  <dimension ref="A1:AB200"/>
  <sheetViews>
    <sheetView topLeftCell="M1" zoomScale="66" workbookViewId="0">
      <selection activeCell="N13" sqref="N1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110</v>
      </c>
      <c r="B2" s="12">
        <v>-106.52</v>
      </c>
      <c r="C2" s="12">
        <v>22.52</v>
      </c>
      <c r="D2" s="10" t="s">
        <v>11</v>
      </c>
      <c r="E2" s="6"/>
      <c r="F2" s="6"/>
      <c r="G2" s="6"/>
      <c r="L2"/>
      <c r="M2"/>
      <c r="N2">
        <v>535.5</v>
      </c>
      <c r="O2">
        <v>0.85199999999999998</v>
      </c>
      <c r="R2">
        <v>115140</v>
      </c>
      <c r="S2" s="1">
        <v>17.849999999999998</v>
      </c>
      <c r="T2">
        <v>23.95</v>
      </c>
      <c r="U2" s="1">
        <v>32.870000000000005</v>
      </c>
      <c r="V2" s="6" t="s">
        <v>112</v>
      </c>
      <c r="W2" s="13" t="s">
        <v>111</v>
      </c>
      <c r="X2" s="6" t="s">
        <v>113</v>
      </c>
      <c r="Y2" s="6" t="s">
        <v>114</v>
      </c>
      <c r="Z2">
        <v>-2025</v>
      </c>
      <c r="AA2"/>
      <c r="AB2"/>
    </row>
    <row r="3" spans="1:28" x14ac:dyDescent="0.2">
      <c r="E3" s="6"/>
      <c r="F3" s="6"/>
      <c r="G3" s="6"/>
      <c r="L3"/>
      <c r="M3"/>
      <c r="N3">
        <v>539.5</v>
      </c>
      <c r="O3">
        <v>0.83899999999999997</v>
      </c>
      <c r="R3">
        <v>116787</v>
      </c>
      <c r="S3" s="1">
        <v>17.64</v>
      </c>
      <c r="T3">
        <v>23.46</v>
      </c>
      <c r="U3" s="1">
        <v>31.259999999999998</v>
      </c>
      <c r="AA3"/>
      <c r="AB3"/>
    </row>
    <row r="4" spans="1:28" x14ac:dyDescent="0.2">
      <c r="E4" s="6"/>
      <c r="F4" s="6"/>
      <c r="G4" s="6"/>
      <c r="L4"/>
      <c r="M4"/>
      <c r="N4">
        <v>543.5</v>
      </c>
      <c r="O4">
        <v>0.83599999999999997</v>
      </c>
      <c r="R4">
        <v>118411</v>
      </c>
      <c r="S4" s="1">
        <v>17.529999999999998</v>
      </c>
      <c r="T4">
        <v>23.37</v>
      </c>
      <c r="U4" s="1">
        <v>30.99</v>
      </c>
      <c r="AA4"/>
      <c r="AB4"/>
    </row>
    <row r="5" spans="1:28" x14ac:dyDescent="0.2">
      <c r="E5" s="6"/>
      <c r="F5" s="6"/>
      <c r="G5" s="6"/>
      <c r="L5"/>
      <c r="M5"/>
      <c r="N5">
        <v>546.5</v>
      </c>
      <c r="O5">
        <v>0.82399999999999995</v>
      </c>
      <c r="R5">
        <v>119569</v>
      </c>
      <c r="S5" s="1">
        <v>17.240000000000002</v>
      </c>
      <c r="T5">
        <v>22.96</v>
      </c>
      <c r="U5" s="1">
        <v>30.060000000000002</v>
      </c>
      <c r="AA5"/>
      <c r="AB5"/>
    </row>
    <row r="6" spans="1:28" x14ac:dyDescent="0.2">
      <c r="L6"/>
      <c r="M6"/>
      <c r="N6">
        <v>561.5</v>
      </c>
      <c r="O6">
        <v>0.83199999999999996</v>
      </c>
      <c r="R6">
        <v>123259</v>
      </c>
      <c r="S6" s="1">
        <v>17.330000000000002</v>
      </c>
      <c r="T6">
        <v>23.23</v>
      </c>
      <c r="U6" s="1">
        <v>30.830000000000002</v>
      </c>
      <c r="AA6"/>
      <c r="AB6"/>
    </row>
    <row r="7" spans="1:28" x14ac:dyDescent="0.2">
      <c r="L7"/>
      <c r="M7"/>
      <c r="N7">
        <v>565.5</v>
      </c>
      <c r="O7">
        <v>0.81499999999999995</v>
      </c>
      <c r="P7"/>
      <c r="R7">
        <v>124280</v>
      </c>
      <c r="S7" s="1">
        <v>16.940000000000001</v>
      </c>
      <c r="T7">
        <v>22.66</v>
      </c>
      <c r="U7" s="1">
        <v>29.419999999999998</v>
      </c>
      <c r="AA7"/>
      <c r="AB7"/>
    </row>
    <row r="8" spans="1:28" x14ac:dyDescent="0.2">
      <c r="L8"/>
      <c r="M8"/>
      <c r="N8">
        <v>569.5</v>
      </c>
      <c r="O8">
        <v>0.79400000000000004</v>
      </c>
      <c r="P8"/>
      <c r="R8">
        <v>125279</v>
      </c>
      <c r="S8" s="1">
        <v>16.309999999999999</v>
      </c>
      <c r="T8">
        <v>21.99</v>
      </c>
      <c r="U8" s="1">
        <v>28.330000000000002</v>
      </c>
      <c r="AA8"/>
      <c r="AB8"/>
    </row>
    <row r="9" spans="1:28" x14ac:dyDescent="0.2">
      <c r="L9"/>
      <c r="M9"/>
      <c r="N9">
        <v>575.5</v>
      </c>
      <c r="O9">
        <v>0.78100000000000003</v>
      </c>
      <c r="P9"/>
      <c r="R9">
        <v>126780</v>
      </c>
      <c r="S9" s="1">
        <v>15.899999999999999</v>
      </c>
      <c r="T9">
        <v>21.58</v>
      </c>
      <c r="U9" s="1">
        <v>27.64</v>
      </c>
      <c r="AA9"/>
      <c r="AB9"/>
    </row>
    <row r="10" spans="1:28" x14ac:dyDescent="0.2">
      <c r="L10"/>
      <c r="M10"/>
      <c r="N10">
        <v>578.5</v>
      </c>
      <c r="O10">
        <v>0.77800000000000002</v>
      </c>
      <c r="P10"/>
      <c r="R10">
        <v>127503</v>
      </c>
      <c r="S10" s="1">
        <v>15.790000000000003</v>
      </c>
      <c r="T10">
        <v>21.49</v>
      </c>
      <c r="U10" s="1">
        <v>27.49</v>
      </c>
      <c r="AA10"/>
      <c r="AB10"/>
    </row>
    <row r="11" spans="1:28" x14ac:dyDescent="0.2">
      <c r="L11"/>
      <c r="M11"/>
      <c r="N11">
        <v>580.5</v>
      </c>
      <c r="O11">
        <v>0.76700000000000002</v>
      </c>
      <c r="P11"/>
      <c r="R11">
        <v>127985</v>
      </c>
      <c r="S11" s="1">
        <v>15.520000000000003</v>
      </c>
      <c r="T11">
        <v>21.18</v>
      </c>
      <c r="U11" s="1">
        <v>27.020000000000003</v>
      </c>
      <c r="AA11"/>
      <c r="AB11"/>
    </row>
    <row r="12" spans="1:28" x14ac:dyDescent="0.2">
      <c r="L12"/>
      <c r="M12"/>
      <c r="N12">
        <v>582.5</v>
      </c>
      <c r="O12">
        <v>0.754</v>
      </c>
      <c r="P12"/>
      <c r="R12">
        <v>128463</v>
      </c>
      <c r="S12" s="1">
        <v>15.120000000000001</v>
      </c>
      <c r="T12">
        <v>20.76</v>
      </c>
      <c r="U12" s="1">
        <v>26.66</v>
      </c>
      <c r="AA12"/>
      <c r="AB12"/>
    </row>
    <row r="13" spans="1:28" x14ac:dyDescent="0.2">
      <c r="L13"/>
      <c r="M13"/>
      <c r="N13">
        <v>585.5</v>
      </c>
      <c r="O13">
        <v>0.75</v>
      </c>
      <c r="P13"/>
      <c r="R13">
        <v>129173</v>
      </c>
      <c r="S13" s="1">
        <v>15.019999999999996</v>
      </c>
      <c r="T13">
        <v>20.64</v>
      </c>
      <c r="U13" s="1">
        <v>26.54</v>
      </c>
      <c r="AA13"/>
      <c r="AB13"/>
    </row>
    <row r="14" spans="1:28" x14ac:dyDescent="0.2">
      <c r="L14"/>
      <c r="M14"/>
      <c r="N14">
        <v>587.5</v>
      </c>
      <c r="O14">
        <v>0.76400000000000001</v>
      </c>
      <c r="P14"/>
      <c r="R14">
        <v>129660</v>
      </c>
      <c r="S14" s="1">
        <v>15.340000000000003</v>
      </c>
      <c r="T14">
        <v>21.08</v>
      </c>
      <c r="U14" s="1">
        <v>26.940000000000005</v>
      </c>
      <c r="AA14"/>
      <c r="AB14"/>
    </row>
    <row r="15" spans="1:28" x14ac:dyDescent="0.2">
      <c r="L15"/>
      <c r="M15"/>
      <c r="N15">
        <v>590.5</v>
      </c>
      <c r="O15">
        <v>0.751</v>
      </c>
      <c r="P15"/>
      <c r="R15">
        <v>130333</v>
      </c>
      <c r="S15" s="1">
        <v>15</v>
      </c>
      <c r="T15">
        <v>20.68</v>
      </c>
      <c r="U15" s="1">
        <v>26.479999999999997</v>
      </c>
      <c r="AA15"/>
      <c r="AB15"/>
    </row>
    <row r="16" spans="1:28" x14ac:dyDescent="0.2">
      <c r="L16"/>
      <c r="M16"/>
      <c r="N16">
        <v>594.5</v>
      </c>
      <c r="O16">
        <v>0.749</v>
      </c>
      <c r="P16"/>
      <c r="R16">
        <v>131230</v>
      </c>
      <c r="S16" s="1">
        <v>14.89</v>
      </c>
      <c r="T16">
        <v>20.61</v>
      </c>
      <c r="U16" s="1">
        <v>26.410000000000004</v>
      </c>
    </row>
    <row r="17" spans="12:21" x14ac:dyDescent="0.2">
      <c r="L17"/>
      <c r="M17"/>
      <c r="N17">
        <v>600.5</v>
      </c>
      <c r="O17">
        <v>0.73399999999999999</v>
      </c>
      <c r="P17"/>
      <c r="R17">
        <v>132521</v>
      </c>
      <c r="S17" s="1">
        <v>14.440000000000001</v>
      </c>
      <c r="T17">
        <v>20.16</v>
      </c>
      <c r="U17" s="1">
        <v>25.84</v>
      </c>
    </row>
    <row r="18" spans="12:21" x14ac:dyDescent="0.2">
      <c r="L18"/>
      <c r="M18"/>
      <c r="N18">
        <v>603.5</v>
      </c>
      <c r="O18">
        <v>0.74</v>
      </c>
      <c r="P18"/>
      <c r="R18">
        <v>133158</v>
      </c>
      <c r="S18" s="1">
        <v>14.649999999999999</v>
      </c>
      <c r="T18">
        <v>20.350000000000001</v>
      </c>
      <c r="U18" s="1">
        <v>26.129999999999995</v>
      </c>
    </row>
    <row r="19" spans="12:21" x14ac:dyDescent="0.2">
      <c r="L19"/>
      <c r="M19"/>
      <c r="N19">
        <v>607.5</v>
      </c>
      <c r="O19">
        <v>0.74199999999999999</v>
      </c>
      <c r="P19"/>
      <c r="R19">
        <v>133999</v>
      </c>
      <c r="S19" s="1">
        <v>14.689999999999998</v>
      </c>
      <c r="T19">
        <v>20.39</v>
      </c>
      <c r="U19" s="1">
        <v>26.15</v>
      </c>
    </row>
    <row r="20" spans="12:21" x14ac:dyDescent="0.2">
      <c r="L20"/>
      <c r="M20"/>
      <c r="N20">
        <v>610.5</v>
      </c>
      <c r="O20">
        <v>0.75700000000000001</v>
      </c>
      <c r="P20"/>
      <c r="R20">
        <v>134589</v>
      </c>
      <c r="S20" s="1">
        <v>15.200000000000003</v>
      </c>
      <c r="T20">
        <v>20.86</v>
      </c>
      <c r="U20" s="1">
        <v>26.68</v>
      </c>
    </row>
    <row r="21" spans="12:21" x14ac:dyDescent="0.2">
      <c r="L21"/>
      <c r="M21"/>
      <c r="N21">
        <v>615.5</v>
      </c>
      <c r="O21">
        <v>0.76700000000000002</v>
      </c>
      <c r="P21"/>
      <c r="R21">
        <v>135558</v>
      </c>
      <c r="S21" s="1">
        <v>15.459999999999997</v>
      </c>
      <c r="T21">
        <v>21.16</v>
      </c>
      <c r="U21" s="1">
        <v>27.040000000000003</v>
      </c>
    </row>
    <row r="22" spans="12:21" x14ac:dyDescent="0.2">
      <c r="L22"/>
      <c r="M22"/>
      <c r="N22">
        <v>620.5</v>
      </c>
      <c r="O22">
        <v>0.76</v>
      </c>
      <c r="P22"/>
      <c r="R22">
        <v>136542</v>
      </c>
      <c r="S22" s="1">
        <v>15.27</v>
      </c>
      <c r="T22">
        <v>20.95</v>
      </c>
      <c r="U22" s="1">
        <v>26.790000000000003</v>
      </c>
    </row>
    <row r="23" spans="12:21" x14ac:dyDescent="0.2">
      <c r="L23"/>
      <c r="M23"/>
      <c r="N23">
        <v>624.5</v>
      </c>
      <c r="O23">
        <v>0.79200000000000004</v>
      </c>
      <c r="P23"/>
      <c r="R23">
        <v>137329</v>
      </c>
      <c r="S23" s="1">
        <v>16.219999999999995</v>
      </c>
      <c r="T23">
        <v>21.94</v>
      </c>
      <c r="U23" s="1">
        <v>28.099999999999998</v>
      </c>
    </row>
    <row r="24" spans="12:21" x14ac:dyDescent="0.2">
      <c r="L24"/>
      <c r="M24"/>
      <c r="N24">
        <v>630.5</v>
      </c>
      <c r="O24">
        <v>0.77</v>
      </c>
      <c r="P24"/>
      <c r="R24">
        <v>138522</v>
      </c>
      <c r="S24" s="1">
        <v>15.540000000000003</v>
      </c>
      <c r="T24">
        <v>21.24</v>
      </c>
      <c r="U24" s="1">
        <v>27.16</v>
      </c>
    </row>
    <row r="25" spans="12:21" x14ac:dyDescent="0.2">
      <c r="L25"/>
      <c r="M25"/>
      <c r="N25">
        <v>634.5</v>
      </c>
      <c r="O25">
        <v>0.77900000000000003</v>
      </c>
      <c r="P25"/>
      <c r="R25">
        <v>139295</v>
      </c>
      <c r="S25" s="1">
        <v>15.829999999999998</v>
      </c>
      <c r="T25">
        <v>21.53</v>
      </c>
      <c r="U25" s="1">
        <v>27.509999999999998</v>
      </c>
    </row>
    <row r="26" spans="12:21" x14ac:dyDescent="0.2">
      <c r="L26"/>
      <c r="M26"/>
      <c r="N26">
        <v>640.5</v>
      </c>
      <c r="O26">
        <v>0.77400000000000002</v>
      </c>
      <c r="P26"/>
      <c r="R26">
        <v>140475</v>
      </c>
      <c r="S26" s="1">
        <v>15.660000000000004</v>
      </c>
      <c r="T26">
        <v>21.4</v>
      </c>
      <c r="U26" s="1">
        <v>27.36</v>
      </c>
    </row>
    <row r="27" spans="12:21" x14ac:dyDescent="0.2">
      <c r="L27"/>
      <c r="M27"/>
      <c r="N27"/>
      <c r="O27"/>
      <c r="P27"/>
      <c r="R27"/>
      <c r="T27"/>
    </row>
    <row r="28" spans="12:21" x14ac:dyDescent="0.2">
      <c r="L28"/>
      <c r="M28"/>
      <c r="N28"/>
      <c r="O28"/>
      <c r="P28"/>
      <c r="R28"/>
      <c r="T28"/>
    </row>
    <row r="29" spans="12:21" x14ac:dyDescent="0.2">
      <c r="L29"/>
      <c r="M29"/>
      <c r="N29"/>
      <c r="O29"/>
      <c r="P29"/>
      <c r="R29"/>
      <c r="T29"/>
    </row>
    <row r="30" spans="12:21" x14ac:dyDescent="0.2">
      <c r="L30"/>
      <c r="M30"/>
      <c r="N30"/>
      <c r="O30"/>
      <c r="P30"/>
      <c r="R30"/>
      <c r="T30"/>
    </row>
    <row r="31" spans="12:21" x14ac:dyDescent="0.2">
      <c r="L31"/>
      <c r="M31"/>
      <c r="N31"/>
      <c r="O31"/>
      <c r="P31"/>
      <c r="R31"/>
      <c r="T31"/>
    </row>
    <row r="32" spans="12:21"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BE058402-5C8D-3845-B619-E1301CBC113F}"/>
  </hyperlinks>
  <pageMargins left="0.75" right="0.75" top="1" bottom="1" header="0.5" footer="0.5"/>
  <pageSetup orientation="portrait" horizontalDpi="4294967292" verticalDpi="429496729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5F218-32D5-1A45-9806-47802D6C4FC1}">
  <sheetPr>
    <tabColor theme="6"/>
  </sheetPr>
  <dimension ref="A1:AB200"/>
  <sheetViews>
    <sheetView topLeftCell="Q1" workbookViewId="0">
      <selection activeCell="W2" sqref="W2"/>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115</v>
      </c>
      <c r="B2" s="12">
        <v>-90.95</v>
      </c>
      <c r="C2" s="12">
        <v>2.25</v>
      </c>
      <c r="D2" s="10" t="s">
        <v>20</v>
      </c>
      <c r="E2" s="6"/>
      <c r="F2" s="6"/>
      <c r="G2" s="6"/>
      <c r="L2"/>
      <c r="M2"/>
      <c r="N2">
        <v>374</v>
      </c>
      <c r="O2">
        <v>2.698</v>
      </c>
      <c r="P2" s="6">
        <v>24.8</v>
      </c>
      <c r="R2">
        <v>116.4</v>
      </c>
      <c r="S2" s="1">
        <f>T2-0.6</f>
        <v>24.2</v>
      </c>
      <c r="T2" s="6">
        <v>24.8</v>
      </c>
      <c r="U2" s="1">
        <f xml:space="preserve"> T2+0.6</f>
        <v>25.400000000000002</v>
      </c>
      <c r="V2" s="13" t="s">
        <v>119</v>
      </c>
      <c r="W2" s="13" t="s">
        <v>118</v>
      </c>
      <c r="X2" s="6" t="s">
        <v>117</v>
      </c>
      <c r="Y2" s="6" t="s">
        <v>116</v>
      </c>
      <c r="Z2">
        <v>-2348</v>
      </c>
      <c r="AA2"/>
      <c r="AB2"/>
    </row>
    <row r="3" spans="1:28" x14ac:dyDescent="0.2">
      <c r="E3" s="6"/>
      <c r="F3" s="6"/>
      <c r="G3" s="6"/>
      <c r="L3"/>
      <c r="M3"/>
      <c r="N3">
        <v>379</v>
      </c>
      <c r="O3">
        <v>3.13</v>
      </c>
      <c r="P3" s="6">
        <v>26.5</v>
      </c>
      <c r="R3">
        <v>119</v>
      </c>
      <c r="S3" s="1">
        <f t="shared" ref="S3:S14" si="0">T3-0.6</f>
        <v>25.9</v>
      </c>
      <c r="T3" s="6">
        <v>26.5</v>
      </c>
      <c r="U3" s="1">
        <f t="shared" ref="U3:U15" si="1" xml:space="preserve"> T3+0.6</f>
        <v>27.1</v>
      </c>
      <c r="AA3"/>
      <c r="AB3"/>
    </row>
    <row r="4" spans="1:28" x14ac:dyDescent="0.2">
      <c r="E4" s="6"/>
      <c r="F4" s="6"/>
      <c r="G4" s="6"/>
      <c r="L4"/>
      <c r="M4"/>
      <c r="N4">
        <v>384</v>
      </c>
      <c r="O4">
        <v>3.0910000000000002</v>
      </c>
      <c r="P4" s="6">
        <v>26.3</v>
      </c>
      <c r="R4">
        <v>121.5</v>
      </c>
      <c r="S4" s="1">
        <f t="shared" si="0"/>
        <v>25.7</v>
      </c>
      <c r="T4" s="6">
        <v>26.3</v>
      </c>
      <c r="U4" s="1">
        <f t="shared" si="1"/>
        <v>26.900000000000002</v>
      </c>
      <c r="AA4"/>
      <c r="AB4"/>
    </row>
    <row r="5" spans="1:28" x14ac:dyDescent="0.2">
      <c r="E5" s="6"/>
      <c r="F5" s="6"/>
      <c r="G5" s="6"/>
      <c r="L5"/>
      <c r="M5"/>
      <c r="N5">
        <v>389</v>
      </c>
      <c r="O5">
        <v>3.3849999999999998</v>
      </c>
      <c r="P5" s="6">
        <v>27.3</v>
      </c>
      <c r="R5">
        <v>124</v>
      </c>
      <c r="S5" s="1">
        <f t="shared" si="0"/>
        <v>26.7</v>
      </c>
      <c r="T5" s="6">
        <v>27.3</v>
      </c>
      <c r="U5" s="1">
        <f t="shared" si="1"/>
        <v>27.900000000000002</v>
      </c>
      <c r="AA5"/>
      <c r="AB5"/>
    </row>
    <row r="6" spans="1:28" x14ac:dyDescent="0.2">
      <c r="L6"/>
      <c r="M6"/>
      <c r="N6">
        <v>394</v>
      </c>
      <c r="O6">
        <v>3.59</v>
      </c>
      <c r="P6" s="6">
        <v>28</v>
      </c>
      <c r="R6">
        <v>125.4</v>
      </c>
      <c r="S6" s="1">
        <f t="shared" si="0"/>
        <v>27.4</v>
      </c>
      <c r="T6" s="6">
        <v>28</v>
      </c>
      <c r="U6" s="1">
        <f t="shared" si="1"/>
        <v>28.6</v>
      </c>
      <c r="AA6"/>
      <c r="AB6"/>
    </row>
    <row r="7" spans="1:28" x14ac:dyDescent="0.2">
      <c r="L7"/>
      <c r="M7"/>
      <c r="N7">
        <v>399</v>
      </c>
      <c r="O7">
        <v>3.621</v>
      </c>
      <c r="P7" s="6">
        <v>28.1</v>
      </c>
      <c r="Q7" s="1"/>
      <c r="R7">
        <v>126.8</v>
      </c>
      <c r="S7" s="1">
        <f t="shared" si="0"/>
        <v>27.5</v>
      </c>
      <c r="T7" s="6">
        <v>28.1</v>
      </c>
      <c r="U7" s="1">
        <f t="shared" si="1"/>
        <v>28.700000000000003</v>
      </c>
      <c r="AA7"/>
      <c r="AB7"/>
    </row>
    <row r="8" spans="1:28" ht="17" x14ac:dyDescent="0.25">
      <c r="L8"/>
      <c r="M8" s="18"/>
      <c r="N8">
        <v>404</v>
      </c>
      <c r="O8">
        <v>3.6139999999999999</v>
      </c>
      <c r="P8" s="6">
        <v>28.1</v>
      </c>
      <c r="R8">
        <v>128.19999999999999</v>
      </c>
      <c r="S8" s="1">
        <f t="shared" si="0"/>
        <v>27.5</v>
      </c>
      <c r="T8" s="6">
        <v>28.1</v>
      </c>
      <c r="U8" s="1">
        <f t="shared" si="1"/>
        <v>28.700000000000003</v>
      </c>
      <c r="AA8"/>
      <c r="AB8"/>
    </row>
    <row r="9" spans="1:28" x14ac:dyDescent="0.2">
      <c r="L9"/>
      <c r="M9" s="17"/>
      <c r="N9">
        <v>409</v>
      </c>
      <c r="O9">
        <v>3.1579999999999999</v>
      </c>
      <c r="P9" s="6">
        <v>26.6</v>
      </c>
      <c r="R9">
        <v>129.6</v>
      </c>
      <c r="S9" s="1">
        <f t="shared" si="0"/>
        <v>26</v>
      </c>
      <c r="T9" s="6">
        <v>26.6</v>
      </c>
      <c r="U9" s="1">
        <f t="shared" si="1"/>
        <v>27.200000000000003</v>
      </c>
      <c r="AA9"/>
      <c r="AB9"/>
    </row>
    <row r="10" spans="1:28" x14ac:dyDescent="0.2">
      <c r="L10"/>
      <c r="M10" s="17"/>
      <c r="N10">
        <v>414</v>
      </c>
      <c r="O10">
        <v>3.367</v>
      </c>
      <c r="P10" s="6">
        <v>27.3</v>
      </c>
      <c r="R10">
        <v>131</v>
      </c>
      <c r="S10" s="1">
        <f t="shared" si="0"/>
        <v>26.7</v>
      </c>
      <c r="T10" s="6">
        <v>27.3</v>
      </c>
      <c r="U10" s="1">
        <f t="shared" si="1"/>
        <v>27.900000000000002</v>
      </c>
      <c r="AA10"/>
      <c r="AB10"/>
    </row>
    <row r="11" spans="1:28" x14ac:dyDescent="0.2">
      <c r="L11"/>
      <c r="M11" s="17"/>
      <c r="N11">
        <v>419</v>
      </c>
      <c r="O11">
        <v>3.0579999999999998</v>
      </c>
      <c r="P11" s="6">
        <v>26.2</v>
      </c>
      <c r="R11">
        <v>132.69999999999999</v>
      </c>
      <c r="S11" s="1">
        <f t="shared" si="0"/>
        <v>25.599999999999998</v>
      </c>
      <c r="T11" s="6">
        <v>26.2</v>
      </c>
      <c r="U11" s="1">
        <f t="shared" si="1"/>
        <v>26.8</v>
      </c>
      <c r="AA11"/>
      <c r="AB11"/>
    </row>
    <row r="12" spans="1:28" x14ac:dyDescent="0.2">
      <c r="L12"/>
      <c r="M12" s="17"/>
      <c r="N12">
        <v>423</v>
      </c>
      <c r="O12">
        <v>2.7959999999999998</v>
      </c>
      <c r="P12" s="6">
        <v>25.2</v>
      </c>
      <c r="R12">
        <v>134.1</v>
      </c>
      <c r="S12" s="1">
        <f t="shared" si="0"/>
        <v>24.599999999999998</v>
      </c>
      <c r="T12" s="6">
        <v>25.2</v>
      </c>
      <c r="U12" s="1">
        <f t="shared" si="1"/>
        <v>25.8</v>
      </c>
      <c r="AA12"/>
      <c r="AB12"/>
    </row>
    <row r="13" spans="1:28" x14ac:dyDescent="0.2">
      <c r="L13"/>
      <c r="M13"/>
      <c r="N13">
        <v>429</v>
      </c>
      <c r="O13">
        <v>2.5219999999999998</v>
      </c>
      <c r="P13" s="6">
        <v>24.1</v>
      </c>
      <c r="R13">
        <v>136.19999999999999</v>
      </c>
      <c r="S13" s="1">
        <f t="shared" si="0"/>
        <v>23.5</v>
      </c>
      <c r="T13" s="6">
        <v>24.1</v>
      </c>
      <c r="U13" s="1">
        <f t="shared" si="1"/>
        <v>24.700000000000003</v>
      </c>
      <c r="AA13"/>
      <c r="AB13"/>
    </row>
    <row r="14" spans="1:28" ht="17" x14ac:dyDescent="0.25">
      <c r="L14"/>
      <c r="M14" s="26"/>
      <c r="N14">
        <v>434</v>
      </c>
      <c r="O14">
        <v>2.605</v>
      </c>
      <c r="P14" s="6">
        <v>24.4</v>
      </c>
      <c r="R14">
        <v>138</v>
      </c>
      <c r="S14" s="1">
        <f t="shared" si="0"/>
        <v>23.799999999999997</v>
      </c>
      <c r="T14" s="6">
        <v>24.4</v>
      </c>
      <c r="U14" s="1">
        <f t="shared" si="1"/>
        <v>25</v>
      </c>
      <c r="AA14"/>
      <c r="AB14"/>
    </row>
    <row r="15" spans="1:28" ht="17" x14ac:dyDescent="0.25">
      <c r="L15"/>
      <c r="M15" s="26"/>
      <c r="N15">
        <v>439</v>
      </c>
      <c r="O15">
        <v>2.4910000000000001</v>
      </c>
      <c r="P15" s="6">
        <v>23.9</v>
      </c>
      <c r="R15">
        <v>139.69999999999999</v>
      </c>
      <c r="S15" s="1">
        <f>T15-0.6</f>
        <v>23.299999999999997</v>
      </c>
      <c r="T15" s="6">
        <v>23.9</v>
      </c>
      <c r="U15" s="1">
        <f t="shared" si="1"/>
        <v>24.5</v>
      </c>
      <c r="AA15"/>
      <c r="AB15"/>
    </row>
    <row r="16" spans="1:28" ht="17" x14ac:dyDescent="0.25">
      <c r="L16"/>
      <c r="M16" s="26"/>
      <c r="R16"/>
      <c r="T16"/>
    </row>
    <row r="17" spans="12:20" ht="17" x14ac:dyDescent="0.25">
      <c r="L17"/>
      <c r="M17" s="26"/>
      <c r="R17"/>
      <c r="T17"/>
    </row>
    <row r="18" spans="12:20" ht="17" x14ac:dyDescent="0.25">
      <c r="L18"/>
      <c r="M18" s="26"/>
      <c r="R18"/>
      <c r="T18"/>
    </row>
    <row r="19" spans="12:20" ht="17" x14ac:dyDescent="0.25">
      <c r="L19"/>
      <c r="M19" s="26"/>
      <c r="R19"/>
      <c r="T19"/>
    </row>
    <row r="20" spans="12:20" ht="17" x14ac:dyDescent="0.25">
      <c r="L20"/>
      <c r="M20" s="26"/>
      <c r="R20"/>
      <c r="T20"/>
    </row>
    <row r="21" spans="12:20" ht="17" x14ac:dyDescent="0.25">
      <c r="L21"/>
      <c r="M21" s="26"/>
      <c r="R21"/>
      <c r="T21"/>
    </row>
    <row r="22" spans="12:20" ht="17" x14ac:dyDescent="0.25">
      <c r="L22"/>
      <c r="M22" s="26"/>
      <c r="R22"/>
      <c r="T22"/>
    </row>
    <row r="23" spans="12:20" ht="17" x14ac:dyDescent="0.25">
      <c r="L23"/>
      <c r="M23" s="26"/>
      <c r="R23"/>
      <c r="T23"/>
    </row>
    <row r="24" spans="12:20" ht="17" x14ac:dyDescent="0.25">
      <c r="L24"/>
      <c r="M24" s="26"/>
      <c r="R24"/>
      <c r="T24"/>
    </row>
    <row r="25" spans="12:20" ht="17" x14ac:dyDescent="0.25">
      <c r="L25"/>
      <c r="M25" s="26"/>
      <c r="R25"/>
      <c r="T25"/>
    </row>
    <row r="26" spans="12:20" ht="17" x14ac:dyDescent="0.25">
      <c r="L26"/>
      <c r="M26" s="26"/>
      <c r="R26"/>
      <c r="T26"/>
    </row>
    <row r="27" spans="12:20" ht="17" x14ac:dyDescent="0.25">
      <c r="L27"/>
      <c r="M27" s="26"/>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3F153F94-C9D7-FE4C-9A41-70D9BA01E8C2}"/>
  </hyperlinks>
  <pageMargins left="0.75" right="0.75" top="1" bottom="1" header="0.5" footer="0.5"/>
  <pageSetup orientation="portrait" horizontalDpi="4294967292" verticalDpi="429496729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F9FD6-4A56-FD47-B953-BE8808D1EDE3}">
  <sheetPr>
    <tabColor rgb="FF0000FF"/>
  </sheetPr>
  <dimension ref="A1:AB200"/>
  <sheetViews>
    <sheetView topLeftCell="O1" zoomScale="75" workbookViewId="0">
      <selection activeCell="X3" sqref="X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120</v>
      </c>
      <c r="B2" s="12">
        <v>78</v>
      </c>
      <c r="C2" s="12">
        <v>2.67</v>
      </c>
      <c r="D2" s="10" t="s">
        <v>20</v>
      </c>
      <c r="E2" s="6"/>
      <c r="F2" s="6"/>
      <c r="G2" s="6"/>
      <c r="L2"/>
      <c r="M2"/>
      <c r="N2">
        <v>232</v>
      </c>
      <c r="O2">
        <v>3.8580000000000001</v>
      </c>
      <c r="P2" s="1"/>
      <c r="Q2" s="1"/>
      <c r="R2" s="1">
        <v>116133.3</v>
      </c>
      <c r="S2" s="1"/>
      <c r="T2">
        <v>27.885999999999999</v>
      </c>
      <c r="U2" s="1"/>
      <c r="V2" s="6" t="s">
        <v>121</v>
      </c>
      <c r="W2" s="13" t="s">
        <v>122</v>
      </c>
      <c r="X2" s="6" t="s">
        <v>124</v>
      </c>
      <c r="Y2" s="6" t="s">
        <v>123</v>
      </c>
      <c r="Z2">
        <v>-3500</v>
      </c>
      <c r="AA2"/>
      <c r="AB2"/>
    </row>
    <row r="3" spans="1:28" x14ac:dyDescent="0.2">
      <c r="E3" s="6"/>
      <c r="F3" s="6"/>
      <c r="G3" s="6"/>
      <c r="L3"/>
      <c r="M3"/>
      <c r="N3">
        <v>234</v>
      </c>
      <c r="O3">
        <v>4.0979999999999999</v>
      </c>
      <c r="P3" s="1"/>
      <c r="Q3" s="1"/>
      <c r="R3" s="1">
        <v>117600</v>
      </c>
      <c r="S3" s="1"/>
      <c r="T3">
        <v>28.556999999999999</v>
      </c>
      <c r="U3" s="1"/>
      <c r="AA3"/>
      <c r="AB3"/>
    </row>
    <row r="4" spans="1:28" x14ac:dyDescent="0.2">
      <c r="E4" s="6"/>
      <c r="F4" s="6"/>
      <c r="G4" s="6"/>
      <c r="L4"/>
      <c r="M4"/>
      <c r="N4">
        <v>236</v>
      </c>
      <c r="O4">
        <v>4.46</v>
      </c>
      <c r="P4" s="1"/>
      <c r="Q4" s="1"/>
      <c r="R4" s="1">
        <v>119066.7</v>
      </c>
      <c r="S4" s="1"/>
      <c r="T4">
        <v>29.498999999999999</v>
      </c>
      <c r="U4" s="1"/>
      <c r="AA4"/>
      <c r="AB4"/>
    </row>
    <row r="5" spans="1:28" x14ac:dyDescent="0.2">
      <c r="E5" s="6"/>
      <c r="F5" s="6"/>
      <c r="G5" s="6"/>
      <c r="L5"/>
      <c r="M5"/>
      <c r="N5">
        <v>238</v>
      </c>
      <c r="O5">
        <v>4.0069999999999997</v>
      </c>
      <c r="P5" s="1"/>
      <c r="Q5" s="1"/>
      <c r="R5" s="1">
        <v>120533.3</v>
      </c>
      <c r="S5" s="1"/>
      <c r="T5">
        <v>28.308</v>
      </c>
      <c r="U5" s="1"/>
      <c r="AA5"/>
      <c r="AB5"/>
    </row>
    <row r="6" spans="1:28" x14ac:dyDescent="0.2">
      <c r="L6"/>
      <c r="M6"/>
      <c r="N6">
        <v>240</v>
      </c>
      <c r="O6">
        <v>4.6369999999999996</v>
      </c>
      <c r="P6" s="1"/>
      <c r="Q6" s="1"/>
      <c r="R6" s="1">
        <v>122000</v>
      </c>
      <c r="S6" s="1"/>
      <c r="T6">
        <v>29.931999999999999</v>
      </c>
      <c r="U6" s="1"/>
      <c r="AA6"/>
      <c r="AB6"/>
    </row>
    <row r="7" spans="1:28" x14ac:dyDescent="0.2">
      <c r="L7"/>
      <c r="M7"/>
      <c r="N7">
        <v>244</v>
      </c>
      <c r="O7">
        <v>4.3449999999999998</v>
      </c>
      <c r="P7" s="1"/>
      <c r="Q7" s="1"/>
      <c r="R7" s="1">
        <v>124000</v>
      </c>
      <c r="S7" s="1"/>
      <c r="T7">
        <v>29.207000000000001</v>
      </c>
      <c r="U7" s="1"/>
      <c r="AA7"/>
      <c r="AB7"/>
    </row>
    <row r="8" spans="1:28" x14ac:dyDescent="0.2">
      <c r="L8"/>
      <c r="M8"/>
      <c r="N8">
        <v>246</v>
      </c>
      <c r="O8">
        <v>4.0750000000000002</v>
      </c>
      <c r="P8" s="1"/>
      <c r="Q8" s="1"/>
      <c r="R8" s="1">
        <v>125000</v>
      </c>
      <c r="S8" s="1"/>
      <c r="T8">
        <v>28.495999999999999</v>
      </c>
      <c r="U8" s="1"/>
      <c r="AA8"/>
      <c r="AB8"/>
    </row>
    <row r="9" spans="1:28" x14ac:dyDescent="0.2">
      <c r="L9"/>
      <c r="M9"/>
      <c r="N9">
        <v>248</v>
      </c>
      <c r="O9">
        <v>4.2119999999999997</v>
      </c>
      <c r="P9" s="1"/>
      <c r="Q9" s="1"/>
      <c r="R9" s="1">
        <v>126000</v>
      </c>
      <c r="S9" s="1"/>
      <c r="T9">
        <v>28.864000000000001</v>
      </c>
      <c r="U9" s="1"/>
      <c r="AA9"/>
      <c r="AB9"/>
    </row>
    <row r="10" spans="1:28" x14ac:dyDescent="0.2">
      <c r="L10"/>
      <c r="M10"/>
      <c r="N10">
        <v>250</v>
      </c>
      <c r="O10">
        <v>4.0679999999999996</v>
      </c>
      <c r="P10" s="1"/>
      <c r="Q10" s="1"/>
      <c r="R10" s="1">
        <v>127000</v>
      </c>
      <c r="S10" s="1"/>
      <c r="T10">
        <v>28.477</v>
      </c>
      <c r="U10" s="1"/>
      <c r="AA10"/>
      <c r="AB10"/>
    </row>
    <row r="11" spans="1:28" x14ac:dyDescent="0.2">
      <c r="L11"/>
      <c r="M11"/>
      <c r="N11">
        <v>252</v>
      </c>
      <c r="O11">
        <v>3.819</v>
      </c>
      <c r="P11" s="1"/>
      <c r="Q11" s="1"/>
      <c r="R11" s="1">
        <v>128333.3</v>
      </c>
      <c r="S11" s="1"/>
      <c r="T11">
        <v>27.776</v>
      </c>
      <c r="U11" s="1"/>
      <c r="AA11"/>
      <c r="AB11"/>
    </row>
    <row r="12" spans="1:28" x14ac:dyDescent="0.2">
      <c r="L12"/>
      <c r="M12"/>
      <c r="N12">
        <v>254</v>
      </c>
      <c r="O12">
        <v>3.8660000000000001</v>
      </c>
      <c r="P12" s="1"/>
      <c r="Q12" s="1"/>
      <c r="R12" s="1">
        <v>129666.7</v>
      </c>
      <c r="S12" s="1"/>
      <c r="T12">
        <v>27.91</v>
      </c>
      <c r="U12" s="1"/>
      <c r="AA12"/>
      <c r="AB12"/>
    </row>
    <row r="13" spans="1:28" x14ac:dyDescent="0.2">
      <c r="L13"/>
      <c r="M13"/>
      <c r="N13">
        <v>256</v>
      </c>
      <c r="O13">
        <v>3.6909999999999998</v>
      </c>
      <c r="P13" s="1"/>
      <c r="Q13" s="1"/>
      <c r="R13" s="1">
        <v>131000</v>
      </c>
      <c r="S13" s="1"/>
      <c r="T13">
        <v>27.396999999999998</v>
      </c>
      <c r="U13" s="1"/>
      <c r="AA13"/>
      <c r="AB13"/>
    </row>
    <row r="14" spans="1:28" x14ac:dyDescent="0.2">
      <c r="L14"/>
      <c r="M14"/>
      <c r="N14">
        <v>258</v>
      </c>
      <c r="O14">
        <v>3.6469999999999998</v>
      </c>
      <c r="P14" s="1"/>
      <c r="Q14" s="1"/>
      <c r="R14" s="1">
        <v>131800</v>
      </c>
      <c r="S14" s="1"/>
      <c r="T14">
        <v>27.262</v>
      </c>
      <c r="U14" s="1"/>
      <c r="AA14"/>
      <c r="AB14"/>
    </row>
    <row r="15" spans="1:28" x14ac:dyDescent="0.2">
      <c r="L15"/>
      <c r="M15"/>
      <c r="N15">
        <v>260</v>
      </c>
      <c r="O15">
        <v>3.6579999999999999</v>
      </c>
      <c r="P15" s="1"/>
      <c r="Q15" s="1"/>
      <c r="R15" s="1">
        <v>132600</v>
      </c>
      <c r="S15" s="1"/>
      <c r="T15">
        <v>27.295999999999999</v>
      </c>
      <c r="U15" s="1"/>
      <c r="AA15"/>
      <c r="AB15"/>
    </row>
    <row r="16" spans="1:28" x14ac:dyDescent="0.2">
      <c r="L16"/>
      <c r="M16"/>
      <c r="N16">
        <v>262</v>
      </c>
      <c r="O16">
        <v>3.8759999999999999</v>
      </c>
      <c r="P16" s="1"/>
      <c r="Q16" s="1"/>
      <c r="R16" s="1">
        <v>133400</v>
      </c>
      <c r="S16" s="1"/>
      <c r="T16">
        <v>27.94</v>
      </c>
      <c r="U16" s="1"/>
    </row>
    <row r="17" spans="12:21" x14ac:dyDescent="0.2">
      <c r="L17"/>
      <c r="M17"/>
      <c r="N17">
        <v>264</v>
      </c>
      <c r="O17">
        <v>3.6909999999999998</v>
      </c>
      <c r="P17" s="1"/>
      <c r="Q17" s="1"/>
      <c r="R17" s="1">
        <v>134200</v>
      </c>
      <c r="S17" s="1"/>
      <c r="T17">
        <v>27.396000000000001</v>
      </c>
      <c r="U17" s="1"/>
    </row>
    <row r="18" spans="12:21" x14ac:dyDescent="0.2">
      <c r="L18"/>
      <c r="M18"/>
      <c r="N18">
        <v>266</v>
      </c>
      <c r="O18">
        <v>3.67</v>
      </c>
      <c r="P18" s="1"/>
      <c r="Q18" s="1"/>
      <c r="R18" s="1">
        <v>135000</v>
      </c>
      <c r="S18" s="1"/>
      <c r="T18">
        <v>27.331</v>
      </c>
      <c r="U18" s="1"/>
    </row>
    <row r="19" spans="12:21" x14ac:dyDescent="0.2">
      <c r="L19"/>
      <c r="M19"/>
      <c r="N19">
        <v>268</v>
      </c>
      <c r="O19">
        <v>3.7519999999999998</v>
      </c>
      <c r="P19" s="1"/>
      <c r="Q19" s="1"/>
      <c r="R19" s="1">
        <v>136166.70000000001</v>
      </c>
      <c r="S19" s="1"/>
      <c r="T19">
        <v>27.577999999999999</v>
      </c>
      <c r="U19" s="1"/>
    </row>
    <row r="20" spans="12:21" x14ac:dyDescent="0.2">
      <c r="L20"/>
      <c r="M20"/>
      <c r="N20">
        <v>270</v>
      </c>
      <c r="O20">
        <v>3.6269999999999998</v>
      </c>
      <c r="P20" s="1"/>
      <c r="Q20" s="1"/>
      <c r="R20" s="1">
        <v>137333.29999999999</v>
      </c>
      <c r="S20" s="1"/>
      <c r="T20">
        <v>27.202000000000002</v>
      </c>
      <c r="U20" s="1"/>
    </row>
    <row r="21" spans="12:21" x14ac:dyDescent="0.2">
      <c r="L21"/>
      <c r="M21"/>
      <c r="N21" s="1"/>
      <c r="O21" s="1"/>
      <c r="P21" s="1"/>
      <c r="Q21" s="1"/>
      <c r="R21" s="1"/>
      <c r="S21" s="1"/>
      <c r="T21" s="1"/>
      <c r="U21" s="1"/>
    </row>
    <row r="22" spans="12:21" x14ac:dyDescent="0.2">
      <c r="L22"/>
      <c r="M22"/>
      <c r="N22"/>
      <c r="O22"/>
      <c r="P22"/>
      <c r="R22"/>
      <c r="T22"/>
    </row>
    <row r="23" spans="12:21" x14ac:dyDescent="0.2">
      <c r="L23"/>
      <c r="M23"/>
      <c r="N23"/>
      <c r="O23"/>
      <c r="P23"/>
      <c r="R23"/>
      <c r="T23"/>
    </row>
    <row r="24" spans="12:21" x14ac:dyDescent="0.2">
      <c r="P24"/>
      <c r="R24"/>
      <c r="T24"/>
    </row>
    <row r="25" spans="12:21" x14ac:dyDescent="0.2">
      <c r="P25"/>
      <c r="R25"/>
      <c r="T25"/>
    </row>
    <row r="26" spans="12:21" x14ac:dyDescent="0.2">
      <c r="P26"/>
      <c r="R26"/>
      <c r="T26"/>
    </row>
    <row r="27" spans="12:21" x14ac:dyDescent="0.2">
      <c r="P27"/>
      <c r="R27"/>
      <c r="T27"/>
    </row>
    <row r="28" spans="12:21" x14ac:dyDescent="0.2">
      <c r="P28"/>
      <c r="R28"/>
      <c r="T28"/>
    </row>
    <row r="29" spans="12:21" x14ac:dyDescent="0.2">
      <c r="P29"/>
      <c r="R29"/>
      <c r="T29"/>
    </row>
    <row r="30" spans="12:21" x14ac:dyDescent="0.2">
      <c r="P30"/>
      <c r="R30"/>
      <c r="T30"/>
    </row>
    <row r="31" spans="12:21" x14ac:dyDescent="0.2">
      <c r="P31"/>
      <c r="R31"/>
      <c r="T31"/>
    </row>
    <row r="32" spans="12:21" x14ac:dyDescent="0.2">
      <c r="P32"/>
      <c r="R32"/>
      <c r="T32"/>
    </row>
    <row r="33" spans="16:20" x14ac:dyDescent="0.2">
      <c r="P33"/>
      <c r="R33"/>
      <c r="T33"/>
    </row>
    <row r="34" spans="16:20" x14ac:dyDescent="0.2">
      <c r="P34"/>
      <c r="R34"/>
      <c r="T34"/>
    </row>
    <row r="35" spans="16:20" x14ac:dyDescent="0.2">
      <c r="P35"/>
      <c r="R35"/>
      <c r="T35"/>
    </row>
    <row r="36" spans="16:20" x14ac:dyDescent="0.2">
      <c r="P36"/>
      <c r="R36"/>
      <c r="T36"/>
    </row>
    <row r="37" spans="16:20" x14ac:dyDescent="0.2">
      <c r="R37"/>
      <c r="T37"/>
    </row>
    <row r="38" spans="16:20" x14ac:dyDescent="0.2">
      <c r="R38"/>
      <c r="T38"/>
    </row>
    <row r="39" spans="16:20" x14ac:dyDescent="0.2">
      <c r="R39"/>
      <c r="T39"/>
    </row>
    <row r="40" spans="16:20" x14ac:dyDescent="0.2">
      <c r="R40"/>
      <c r="T40"/>
    </row>
    <row r="41" spans="16:20" x14ac:dyDescent="0.2">
      <c r="R41"/>
      <c r="T41"/>
    </row>
    <row r="42" spans="16:20" x14ac:dyDescent="0.2">
      <c r="R42"/>
      <c r="T42"/>
    </row>
    <row r="43" spans="16:20" x14ac:dyDescent="0.2">
      <c r="R43"/>
      <c r="T43"/>
    </row>
    <row r="44" spans="16:20" x14ac:dyDescent="0.2">
      <c r="R44"/>
      <c r="T44"/>
    </row>
    <row r="45" spans="16:20" x14ac:dyDescent="0.2">
      <c r="R45"/>
      <c r="T45"/>
    </row>
    <row r="46" spans="16:20" x14ac:dyDescent="0.2">
      <c r="R46"/>
      <c r="T46"/>
    </row>
    <row r="47" spans="16:20" x14ac:dyDescent="0.2">
      <c r="R47"/>
      <c r="T47"/>
    </row>
    <row r="48" spans="16: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ED86CE3-B606-3A40-8D05-8D21FF72A6C4}"/>
  </hyperlinks>
  <pageMargins left="0.75" right="0.75" top="1" bottom="1" header="0.5" footer="0.5"/>
  <pageSetup orientation="portrait" horizontalDpi="4294967292" verticalDpi="429496729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
  <sheetViews>
    <sheetView zoomScale="50" workbookViewId="0">
      <selection activeCell="C12" sqref="C12"/>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6"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6" x14ac:dyDescent="0.2">
      <c r="A2" s="9"/>
      <c r="B2" s="10"/>
      <c r="C2" s="10"/>
      <c r="D2" s="10"/>
      <c r="E2" s="6"/>
      <c r="F2" s="6"/>
      <c r="G2" s="6"/>
    </row>
    <row r="3" spans="1:26" x14ac:dyDescent="0.2">
      <c r="E3" s="6"/>
      <c r="F3" s="6"/>
      <c r="G3" s="6"/>
    </row>
    <row r="4" spans="1:26" x14ac:dyDescent="0.2">
      <c r="E4" s="6"/>
      <c r="F4" s="6"/>
      <c r="G4" s="6"/>
    </row>
    <row r="5" spans="1:26" x14ac:dyDescent="0.2">
      <c r="E5" s="6"/>
      <c r="F5" s="6"/>
      <c r="G5" s="6"/>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TEMPLATE</vt:lpstr>
      <vt:lpstr>ODP1148_TEX86</vt:lpstr>
      <vt:lpstr>ODP1148_UK37</vt:lpstr>
      <vt:lpstr>IODP-U1446</vt:lpstr>
      <vt:lpstr>KNR191_CDH19</vt:lpstr>
      <vt:lpstr>ODP1016C</vt:lpstr>
      <vt:lpstr>ODP1014A</vt:lpstr>
      <vt:lpstr>ODP999A</vt:lpstr>
      <vt:lpstr>U939</vt:lpstr>
      <vt:lpstr>SO136-111</vt:lpstr>
      <vt:lpstr>MD02-2575</vt:lpstr>
      <vt:lpstr>RC10-62</vt:lpstr>
      <vt:lpstr>RC13-110</vt:lpstr>
      <vt:lpstr>RC13-115</vt:lpstr>
      <vt:lpstr>V19-29</vt:lpstr>
      <vt:lpstr>VNTR1-8</vt:lpstr>
      <vt:lpstr>Y69-106P</vt:lpstr>
      <vt:lpstr>Y69-71P</vt:lpstr>
      <vt:lpstr>Y71-3-2</vt:lpstr>
      <vt:lpstr>Y71-9-101</vt:lpstr>
      <vt:lpstr>Y71-6-12</vt:lpstr>
      <vt:lpstr>ODP1239</vt:lpstr>
      <vt:lpstr>NH22P</vt:lpstr>
      <vt:lpstr>TR163-19</vt:lpstr>
      <vt:lpstr>SK157-4</vt:lpstr>
      <vt:lpstr>Sample</vt:lpstr>
    </vt:vector>
  </TitlesOfParts>
  <Company>Oregon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Hoffman</dc:creator>
  <cp:lastModifiedBy>Anna Chen</cp:lastModifiedBy>
  <cp:lastPrinted>2016-08-02T02:10:43Z</cp:lastPrinted>
  <dcterms:created xsi:type="dcterms:W3CDTF">2016-07-29T21:52:57Z</dcterms:created>
  <dcterms:modified xsi:type="dcterms:W3CDTF">2026-07-21T05:42:38Z</dcterms:modified>
</cp:coreProperties>
</file>