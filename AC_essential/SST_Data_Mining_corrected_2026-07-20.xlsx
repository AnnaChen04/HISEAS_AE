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00" yWindow="-21000" windowWidth="21120" windowHeight="16540" tabRatio="600" firstSheet="8" activeTab="12" autoFilterDateGrouping="1"/>
  </bookViews>
  <sheets>
    <sheet xmlns:r="http://schemas.openxmlformats.org/officeDocument/2006/relationships" name="TEMPLATE" sheetId="1" state="visible" r:id="rId1"/>
    <sheet xmlns:r="http://schemas.openxmlformats.org/officeDocument/2006/relationships" name="ODP1148_TEX86" sheetId="2" state="visible" r:id="rId2"/>
    <sheet xmlns:r="http://schemas.openxmlformats.org/officeDocument/2006/relationships" name="ODP1148_UK37" sheetId="3" state="visible" r:id="rId3"/>
    <sheet xmlns:r="http://schemas.openxmlformats.org/officeDocument/2006/relationships" name="IODP-U1446" sheetId="4" state="visible" r:id="rId4"/>
    <sheet xmlns:r="http://schemas.openxmlformats.org/officeDocument/2006/relationships" name="KNR191_CDH19" sheetId="5" state="visible" r:id="rId5"/>
    <sheet xmlns:r="http://schemas.openxmlformats.org/officeDocument/2006/relationships" name="ODP1016C" sheetId="6" state="visible" r:id="rId6"/>
    <sheet xmlns:r="http://schemas.openxmlformats.org/officeDocument/2006/relationships" name="ODP1014A" sheetId="7" state="visible" r:id="rId7"/>
    <sheet xmlns:r="http://schemas.openxmlformats.org/officeDocument/2006/relationships" name="ODP999A" sheetId="8" state="visible" r:id="rId8"/>
    <sheet xmlns:r="http://schemas.openxmlformats.org/officeDocument/2006/relationships" name="U939" sheetId="9" state="visible" r:id="rId9"/>
    <sheet xmlns:r="http://schemas.openxmlformats.org/officeDocument/2006/relationships" name="SO136-111" sheetId="10" state="visible" r:id="rId10"/>
    <sheet xmlns:r="http://schemas.openxmlformats.org/officeDocument/2006/relationships" name="MD02-2575" sheetId="11" state="visible" r:id="rId11"/>
    <sheet xmlns:r="http://schemas.openxmlformats.org/officeDocument/2006/relationships" name="RC10-62" sheetId="12" state="visible" r:id="rId12"/>
    <sheet xmlns:r="http://schemas.openxmlformats.org/officeDocument/2006/relationships" name="RC13-110" sheetId="13" state="visible" r:id="rId13"/>
    <sheet xmlns:r="http://schemas.openxmlformats.org/officeDocument/2006/relationships" name="RC13-115" sheetId="14" state="visible" r:id="rId14"/>
    <sheet xmlns:r="http://schemas.openxmlformats.org/officeDocument/2006/relationships" name="V19-29" sheetId="15" state="visible" r:id="rId15"/>
    <sheet xmlns:r="http://schemas.openxmlformats.org/officeDocument/2006/relationships" name="VNTR1-8" sheetId="16" state="visible" r:id="rId16"/>
    <sheet xmlns:r="http://schemas.openxmlformats.org/officeDocument/2006/relationships" name="Y69-106P" sheetId="17" state="visible" r:id="rId17"/>
    <sheet xmlns:r="http://schemas.openxmlformats.org/officeDocument/2006/relationships" name="Y69-71P" sheetId="18" state="visible" r:id="rId18"/>
    <sheet xmlns:r="http://schemas.openxmlformats.org/officeDocument/2006/relationships" name="Y71-3-2" sheetId="19" state="visible" r:id="rId19"/>
    <sheet xmlns:r="http://schemas.openxmlformats.org/officeDocument/2006/relationships" name="Y71-9-101" sheetId="20" state="visible" r:id="rId20"/>
    <sheet xmlns:r="http://schemas.openxmlformats.org/officeDocument/2006/relationships" name="Y71-6-12" sheetId="21" state="visible" r:id="rId21"/>
    <sheet xmlns:r="http://schemas.openxmlformats.org/officeDocument/2006/relationships" name="ODP1239" sheetId="22" state="visible" r:id="rId22"/>
    <sheet xmlns:r="http://schemas.openxmlformats.org/officeDocument/2006/relationships" name="NH22P" sheetId="23" state="visible" r:id="rId23"/>
    <sheet xmlns:r="http://schemas.openxmlformats.org/officeDocument/2006/relationships" name="TR163-19" sheetId="24" state="visible" r:id="rId24"/>
    <sheet xmlns:r="http://schemas.openxmlformats.org/officeDocument/2006/relationships" name="SK157-4" sheetId="25" state="visible" r:id="rId25"/>
    <sheet xmlns:r="http://schemas.openxmlformats.org/officeDocument/2006/relationships" name="Sample" sheetId="26" state="visible" r:id="rId26"/>
    <sheet xmlns:r="http://schemas.openxmlformats.org/officeDocument/2006/relationships" name="DSDP 588" sheetId="27" state="visible" r:id="rId27"/>
    <sheet xmlns:r="http://schemas.openxmlformats.org/officeDocument/2006/relationships" name="ODP 1094" sheetId="28" state="visible" r:id="rId28"/>
    <sheet xmlns:r="http://schemas.openxmlformats.org/officeDocument/2006/relationships" name="KX97322-4" sheetId="29" state="visible" r:id="rId29"/>
    <sheet xmlns:r="http://schemas.openxmlformats.org/officeDocument/2006/relationships" name="ODP 806B" sheetId="30" state="visible" r:id="rId30"/>
    <sheet xmlns:r="http://schemas.openxmlformats.org/officeDocument/2006/relationships" name="RC09-166" sheetId="31" state="visible" r:id="rId31"/>
    <sheet xmlns:r="http://schemas.openxmlformats.org/officeDocument/2006/relationships" name="MD85668" sheetId="32" state="visible" r:id="rId32"/>
    <sheet xmlns:r="http://schemas.openxmlformats.org/officeDocument/2006/relationships" name="MD90963" sheetId="33" state="visible" r:id="rId33"/>
    <sheet xmlns:r="http://schemas.openxmlformats.org/officeDocument/2006/relationships" name="MD85674" sheetId="34" state="visible" r:id="rId34"/>
    <sheet xmlns:r="http://schemas.openxmlformats.org/officeDocument/2006/relationships" name="TY93-929-P" sheetId="35" state="visible" r:id="rId35"/>
    <sheet xmlns:r="http://schemas.openxmlformats.org/officeDocument/2006/relationships" name="IODP U1482" sheetId="36" state="visible" r:id="rId36"/>
    <sheet xmlns:r="http://schemas.openxmlformats.org/officeDocument/2006/relationships" name="MD98-2152" sheetId="37" state="visible" r:id="rId37"/>
    <sheet xmlns:r="http://schemas.openxmlformats.org/officeDocument/2006/relationships" name="ODP 1021" sheetId="38" state="visible" r:id="rId38"/>
    <sheet xmlns:r="http://schemas.openxmlformats.org/officeDocument/2006/relationships" name="ODP 1088" sheetId="39" state="visible" r:id="rId39"/>
    <sheet xmlns:r="http://schemas.openxmlformats.org/officeDocument/2006/relationships" name="ODP 982" sheetId="40" state="visible" r:id="rId40"/>
    <sheet xmlns:r="http://schemas.openxmlformats.org/officeDocument/2006/relationships" name="ODP 1208" sheetId="41" state="visible" r:id="rId41"/>
    <sheet xmlns:r="http://schemas.openxmlformats.org/officeDocument/2006/relationships" name="ODP 1010" sheetId="42" state="visible" r:id="rId42"/>
    <sheet xmlns:r="http://schemas.openxmlformats.org/officeDocument/2006/relationships" name="Q200" sheetId="43" state="visible" r:id="rId43"/>
    <sheet xmlns:r="http://schemas.openxmlformats.org/officeDocument/2006/relationships" name="R657" sheetId="44" state="visible" r:id="rId44"/>
    <sheet xmlns:r="http://schemas.openxmlformats.org/officeDocument/2006/relationships" name="U938" sheetId="45" state="visible" r:id="rId45"/>
    <sheet xmlns:r="http://schemas.openxmlformats.org/officeDocument/2006/relationships" name="MD99-2331_UK37" sheetId="46" state="visible" r:id="rId46"/>
    <sheet xmlns:r="http://schemas.openxmlformats.org/officeDocument/2006/relationships" name="MD99-2331_Foram" sheetId="47" state="visible" r:id="rId47"/>
    <sheet xmlns:r="http://schemas.openxmlformats.org/officeDocument/2006/relationships" name="ODP 1172A" sheetId="48" state="visible" r:id="rId48"/>
    <sheet xmlns:r="http://schemas.openxmlformats.org/officeDocument/2006/relationships" name="ODP 1170A" sheetId="49" state="visible" r:id="rId49"/>
    <sheet xmlns:r="http://schemas.openxmlformats.org/officeDocument/2006/relationships" name="ODP 1168A" sheetId="50" state="visible" r:id="rId50"/>
    <sheet xmlns:r="http://schemas.openxmlformats.org/officeDocument/2006/relationships" name="ODP 1125" sheetId="51" state="visible" r:id="rId51"/>
    <sheet xmlns:r="http://schemas.openxmlformats.org/officeDocument/2006/relationships" name="ODP 847" sheetId="52" state="visible" r:id="rId52"/>
    <sheet xmlns:r="http://schemas.openxmlformats.org/officeDocument/2006/relationships" name="GeoB10083" sheetId="53" state="visible" r:id="rId53"/>
    <sheet xmlns:r="http://schemas.openxmlformats.org/officeDocument/2006/relationships" name="GeoB10163" sheetId="54" state="visible" r:id="rId54"/>
    <sheet xmlns:r="http://schemas.openxmlformats.org/officeDocument/2006/relationships" name="GeoB10285" sheetId="55" state="visible" r:id="rId55"/>
    <sheet xmlns:r="http://schemas.openxmlformats.org/officeDocument/2006/relationships" name="PS1778-5" sheetId="56" state="visible" r:id="rId56"/>
    <sheet xmlns:r="http://schemas.openxmlformats.org/officeDocument/2006/relationships" name="RS147-GC14" sheetId="57" state="visible" r:id="rId57"/>
    <sheet xmlns:r="http://schemas.openxmlformats.org/officeDocument/2006/relationships" name="E45-29" sheetId="58" state="visible" r:id="rId58"/>
    <sheet xmlns:r="http://schemas.openxmlformats.org/officeDocument/2006/relationships" name="E49-17" sheetId="59" state="visible" r:id="rId59"/>
    <sheet xmlns:r="http://schemas.openxmlformats.org/officeDocument/2006/relationships" name="E49-18" sheetId="60" state="visible" r:id="rId60"/>
    <sheet xmlns:r="http://schemas.openxmlformats.org/officeDocument/2006/relationships" name="E49-21" sheetId="61" state="visible" r:id="rId61"/>
    <sheet xmlns:r="http://schemas.openxmlformats.org/officeDocument/2006/relationships" name="RC12-225" sheetId="62" state="visible" r:id="rId62"/>
    <sheet xmlns:r="http://schemas.openxmlformats.org/officeDocument/2006/relationships" name="DSDP 593" sheetId="63" state="visible" r:id="rId63"/>
    <sheet xmlns:r="http://schemas.openxmlformats.org/officeDocument/2006/relationships" name="ODP 882" sheetId="64" state="visible" r:id="rId64"/>
    <sheet xmlns:r="http://schemas.openxmlformats.org/officeDocument/2006/relationships" name="VM19-193" sheetId="65" state="visible" r:id="rId65"/>
    <sheet xmlns:r="http://schemas.openxmlformats.org/officeDocument/2006/relationships" name="ODP 871" sheetId="66" state="visible" r:id="rId66"/>
  </sheets>
  <definedNames/>
  <calcPr calcId="191029" fullCalcOnLoad="1"/>
</workbook>
</file>

<file path=xl/styles.xml><?xml version="1.0" encoding="utf-8"?>
<styleSheet xmlns="http://schemas.openxmlformats.org/spreadsheetml/2006/main">
  <numFmts count="1">
    <numFmt numFmtId="164" formatCode="0.000"/>
  </numFmts>
  <fonts count="16">
    <font>
      <name val="Helvetica"/>
      <family val="2"/>
      <color theme="1"/>
      <sz val="12"/>
    </font>
    <font>
      <name val="Arial"/>
      <family val="2"/>
      <sz val="10"/>
    </font>
    <font>
      <name val="Helvetica"/>
      <family val="2"/>
      <color theme="10"/>
      <sz val="12"/>
      <u val="single"/>
    </font>
    <font>
      <name val="Helvetica"/>
      <family val="2"/>
      <color theme="11"/>
      <sz val="12"/>
      <u val="single"/>
    </font>
    <font>
      <name val="Verdana"/>
      <family val="2"/>
      <sz val="10"/>
    </font>
    <font>
      <name val="Calibri"/>
      <family val="2"/>
      <color theme="1"/>
      <sz val="12"/>
      <scheme val="minor"/>
    </font>
    <font>
      <name val="Helvetica"/>
      <family val="2"/>
      <sz val="8"/>
    </font>
    <font>
      <name val="Helvetica"/>
      <family val="2"/>
      <b val="1"/>
      <color theme="1"/>
      <sz val="12"/>
    </font>
    <font>
      <name val="Calibri"/>
      <family val="2"/>
      <b val="1"/>
      <color theme="1"/>
      <sz val="12"/>
      <scheme val="minor"/>
    </font>
    <font>
      <name val="Calibri"/>
      <family val="2"/>
      <b val="1"/>
      <color theme="1"/>
      <sz val="11"/>
    </font>
    <font>
      <name val="Calibri"/>
      <family val="2"/>
      <color theme="1"/>
      <sz val="11"/>
    </font>
    <font>
      <name val="Arial Unicode MS"/>
      <family val="2"/>
      <color rgb="FF000000"/>
      <sz val="10"/>
    </font>
    <font>
      <name val="Geneva"/>
      <family val="2"/>
      <sz val="10"/>
    </font>
    <font>
      <name val="Tahoma"/>
      <family val="2"/>
      <color rgb="FF000000"/>
      <sz val="10"/>
    </font>
    <font>
      <name val="Tahoma"/>
      <family val="2"/>
      <b val="1"/>
      <color rgb="FF000000"/>
      <sz val="10"/>
    </font>
    <font>
      <name val="Aptos Narrow"/>
      <family val="2"/>
      <color rgb="FF000000"/>
      <sz val="12"/>
    </font>
  </fonts>
  <fills count="3">
    <fill>
      <patternFill/>
    </fill>
    <fill>
      <patternFill patternType="gray125"/>
    </fill>
    <fill>
      <patternFill patternType="solid">
        <fgColor theme="5" tint="0.799981688894314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6">
    <xf numFmtId="0" fontId="0" fillId="0" borderId="0"/>
    <xf numFmtId="0" fontId="1" fillId="0" borderId="0"/>
    <xf numFmtId="0" fontId="2" fillId="0" borderId="0"/>
    <xf numFmtId="0" fontId="3" fillId="0" borderId="0"/>
    <xf numFmtId="0" fontId="4" fillId="0" borderId="0"/>
    <xf numFmtId="0" fontId="5" fillId="0" borderId="0"/>
  </cellStyleXfs>
  <cellXfs count="31">
    <xf numFmtId="0" fontId="0" fillId="0" borderId="0" pivotButton="0" quotePrefix="0" xfId="0"/>
    <xf numFmtId="2" fontId="0" fillId="0" borderId="0" pivotButton="0" quotePrefix="0" xfId="0"/>
    <xf numFmtId="0" fontId="8" fillId="0" borderId="0"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0" fillId="0" borderId="0" pivotButton="0" quotePrefix="0" xfId="0"/>
    <xf numFmtId="49" fontId="7" fillId="0" borderId="1" applyAlignment="1" pivotButton="0" quotePrefix="0" xfId="0">
      <alignment horizontal="center" vertical="center" wrapText="1"/>
    </xf>
    <xf numFmtId="49" fontId="8" fillId="0" borderId="0" applyAlignment="1" pivotButton="0" quotePrefix="0" xfId="0">
      <alignment horizontal="center" vertical="center" wrapText="1"/>
    </xf>
    <xf numFmtId="49" fontId="9" fillId="0" borderId="0" pivotButton="0" quotePrefix="0" xfId="0"/>
    <xf numFmtId="49" fontId="10" fillId="0" borderId="0" pivotButton="0" quotePrefix="0" xfId="0"/>
    <xf numFmtId="49" fontId="1" fillId="0" borderId="0" pivotButton="0" quotePrefix="0" xfId="1"/>
    <xf numFmtId="0" fontId="10" fillId="0" borderId="0" pivotButton="0" quotePrefix="0" xfId="0"/>
    <xf numFmtId="49" fontId="2" fillId="0" borderId="0" pivotButton="0" quotePrefix="0" xfId="1496"/>
    <xf numFmtId="49" fontId="11" fillId="0" borderId="0" pivotButton="0" quotePrefix="0" xfId="0"/>
    <xf numFmtId="0" fontId="1" fillId="0" borderId="0" pivotButton="0" quotePrefix="0" xfId="1"/>
    <xf numFmtId="2" fontId="10" fillId="0" borderId="0" pivotButton="0" quotePrefix="0" xfId="0"/>
    <xf numFmtId="2" fontId="1" fillId="0" borderId="0" pivotButton="0" quotePrefix="0" xfId="1"/>
    <xf numFmtId="2" fontId="11" fillId="0" borderId="0" pivotButton="0" quotePrefix="0" xfId="0"/>
    <xf numFmtId="1" fontId="1" fillId="0" borderId="0" pivotButton="0" quotePrefix="0" xfId="1"/>
    <xf numFmtId="1" fontId="0" fillId="0" borderId="0" pivotButton="0" quotePrefix="0" xfId="0"/>
    <xf numFmtId="49" fontId="1" fillId="2" borderId="0" pivotButton="0" quotePrefix="0" xfId="1"/>
    <xf numFmtId="1" fontId="12" fillId="0" borderId="0" pivotButton="0" quotePrefix="0" xfId="0"/>
    <xf numFmtId="0" fontId="12" fillId="0" borderId="0" pivotButton="0" quotePrefix="0" xfId="0"/>
    <xf numFmtId="164" fontId="0" fillId="0" borderId="0" pivotButton="0" quotePrefix="0" xfId="0"/>
    <xf numFmtId="0" fontId="15" fillId="0" borderId="0" pivotButton="0" quotePrefix="0" xfId="0"/>
    <xf numFmtId="0" fontId="11" fillId="0" borderId="0" pivotButton="0" quotePrefix="0" xfId="0"/>
    <xf numFmtId="0" fontId="0" fillId="0" borderId="0" applyAlignment="1" pivotButton="0" quotePrefix="0" xfId="0">
      <alignment horizontal="center"/>
    </xf>
    <xf numFmtId="0" fontId="0" fillId="0" borderId="2" applyAlignment="1" pivotButton="0" quotePrefix="0" xfId="0">
      <alignment horizontal="center"/>
    </xf>
    <xf numFmtId="0" fontId="0" fillId="0" borderId="0" pivotButton="0" quotePrefix="0" xfId="0"/>
    <xf numFmtId="0" fontId="0" fillId="0" borderId="2" pivotButton="0" quotePrefix="0" xfId="0"/>
  </cellXfs>
  <cellStyles count="6">
    <cellStyle name="Normal" xfId="0" builtinId="0"/>
    <cellStyle name="Normal 3" xfId="1"/>
    <cellStyle name="Hyperlink" xfId="2" builtinId="8" hidden="1"/>
    <cellStyle name="Followed Hyperlink" xfId="3" builtinId="9" hidden="1"/>
    <cellStyle name="Normal 2" xfId="4"/>
    <cellStyle name="Normal 2 2" xfId="5"/>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styles" Target="styles.xml" Id="rId67"/><Relationship Type="http://schemas.openxmlformats.org/officeDocument/2006/relationships/theme" Target="theme/theme1.xml" Id="rId68"/></Relationships>
</file>

<file path=xl/comments/comment1.xml><?xml version="1.0" encoding="utf-8"?>
<comments xmlns="http://schemas.openxmlformats.org/spreadsheetml/2006/main">
  <authors>
    <author>Anna Chen</author>
  </authors>
  <commentList>
    <comment ref="M1" authorId="0" shapeId="0">
      <text>
        <t>Anna Chen:
Thiis is delta O18 PDB from Globigerinoides ruber (white)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hyperlink" Target="https://www.ncei.noaa.gov/pub/data/paleo/contributions_by_author/li2017/li2017.txt" TargetMode="External" Id="rId1"/></Relationships>
</file>

<file path=xl/worksheets/_rels/sheet3.xml.rels><Relationships xmlns="http://schemas.openxmlformats.org/package/2006/relationships"><Relationship Type="http://schemas.openxmlformats.org/officeDocument/2006/relationships/hyperlink" Target="https://www.ncei.noaa.gov/pub/data/paleo/contributions_by_author/li2017/li2017.txt" TargetMode="External" Id="rId1"/></Relationships>
</file>

<file path=xl/worksheets/_rels/sheet4.xml.rels><Relationships xmlns="http://schemas.openxmlformats.org/package/2006/relationships"><Relationship Type="http://schemas.openxmlformats.org/officeDocument/2006/relationships/hyperlink" Target="https://www.ncei.noaa.gov/pub/data/paleo/contributions_by_author/clemens2021/clemens2021-u1446-mgca-noaa.txt" TargetMode="External" Id="rId1"/></Relationships>
</file>

<file path=xl/worksheets/_rels/sheet5.xml.rels><Relationships xmlns="http://schemas.openxmlformats.org/package/2006/relationships"><Relationship Type="http://schemas.openxmlformats.org/officeDocument/2006/relationships/hyperlink" Target="https://www.ncei.noaa.gov/pub/data/paleo/contributions_by_author/henry2016/henry2016sst.txt" TargetMode="External" Id="rId1"/></Relationships>
</file>

<file path=xl/worksheets/_rels/sheet7.xml.rels><Relationships xmlns="http://schemas.openxmlformats.org/package/2006/relationships"><Relationship Type="http://schemas.openxmlformats.org/officeDocument/2006/relationships/hyperlink" Target="https://www.ncei.noaa.gov/pub/data/paleo/paleocean/sediment_files/complete/odp1014a-tab.txt" TargetMode="External" Id="rId1"/></Relationships>
</file>

<file path=xl/worksheets/_rels/sheet8.xml.rels><Relationships xmlns="http://schemas.openxmlformats.org/package/2006/relationships"><Relationship Type="http://schemas.openxmlformats.org/officeDocument/2006/relationships/hyperlink" Target="https://www.ncei.noaa.gov/pub/data/paleo/paleocean/sediment_files/complete/odp999a-tab.txt" TargetMode="External" Id="rId1"/></Relationships>
</file>

<file path=xl/worksheets/_rels/sheet9.xml.rels><Relationships xmlns="http://schemas.openxmlformats.org/package/2006/relationships"><Relationship Type="http://schemas.openxmlformats.org/officeDocument/2006/relationships/hyperlink" Target="https://www.ncei.noaa.gov/pub/data/paleo/paleocean/sediment_files/complete/u939-tab.txt" TargetMode="External" Id="rId1"/></Relationships>
</file>

<file path=xl/worksheets/_rels/sheet10.xml.rels><Relationships xmlns="http://schemas.openxmlformats.org/package/2006/relationships"><Relationship Type="http://schemas.openxmlformats.org/officeDocument/2006/relationships/hyperlink" Target="https://www.ncei.noaa.gov/pub/data/paleo/contributions_by_author/crosta2004/crosta2004.txt" TargetMode="External" Id="rId1"/></Relationships>
</file>

<file path=xl/worksheets/_rels/sheet11.xml.rels><Relationships xmlns="http://schemas.openxmlformats.org/package/2006/relationships"><Relationship Type="http://schemas.openxmlformats.org/officeDocument/2006/relationships/hyperlink" Target="https://www.ncei.noaa.gov/pub/data/paleo/paleocean/sediment_files/complete/md2-2575-tab.txt"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2.xml.rels><Relationships xmlns="http://schemas.openxmlformats.org/package/2006/relationships"><Relationship Type="http://schemas.openxmlformats.org/officeDocument/2006/relationships/hyperlink" Target="https://www.ncei.noaa.gov/pub/data/paleo/contributions_by_author/pisias1997b/rc10-62_sst.ager" TargetMode="External" Id="rId1"/></Relationships>
</file>

<file path=xl/worksheets/_rels/sheet13.xml.rels><Relationships xmlns="http://schemas.openxmlformats.org/package/2006/relationships"><Relationship Type="http://schemas.openxmlformats.org/officeDocument/2006/relationships/hyperlink" Target="https://www.ncei.noaa.gov/pub/data/paleo/contributions_by_author/pisias1997b/rc13-110_sst.ager" TargetMode="External" Id="rId1"/></Relationships>
</file>

<file path=xl/worksheets/_rels/sheet15.xml.rels><Relationships xmlns="http://schemas.openxmlformats.org/package/2006/relationships"><Relationship Type="http://schemas.openxmlformats.org/officeDocument/2006/relationships/hyperlink" Target="https://www.ncei.noaa.gov/pub/data/paleo/contributions_by_author/pisias1997b/v19-29_sst.ager" TargetMode="External" Id="rId1"/></Relationships>
</file>

<file path=xl/worksheets/_rels/sheet16.xml.rels><Relationships xmlns="http://schemas.openxmlformats.org/package/2006/relationships"><Relationship Type="http://schemas.openxmlformats.org/officeDocument/2006/relationships/hyperlink" Target="https://www.ncei.noaa.gov/pub/data/paleo/contributions_by_author/pisias1997b/vntr1-8_sst.ager" TargetMode="External" Id="rId1"/></Relationships>
</file>

<file path=xl/worksheets/_rels/sheet22.xml.rels><Relationships xmlns="http://schemas.openxmlformats.org/package/2006/relationships"><Relationship Type="http://schemas.openxmlformats.org/officeDocument/2006/relationships/hyperlink" Target="https://www.ncei.noaa.gov/pub/data/paleo/contributions_by_author/dyez2016/dyez2016-sst-merge.txt" TargetMode="External" Id="rId1"/></Relationships>
</file>

<file path=xl/worksheets/_rels/sheet23.xml.rels><Relationships xmlns="http://schemas.openxmlformats.org/package/2006/relationships"><Relationship Type="http://schemas.openxmlformats.org/officeDocument/2006/relationships/hyperlink" Target="https://www.ncei.noaa.gov/pub/data/paleo/reconstructions/kumar2022/nh22p_kumar2022.txt" TargetMode="External" Id="rId1"/></Relationships>
</file>

<file path=xl/worksheets/_rels/sheet24.xml.rels><Relationships xmlns="http://schemas.openxmlformats.org/package/2006/relationships"><Relationship Type="http://schemas.openxmlformats.org/officeDocument/2006/relationships/hyperlink" Target="https://www.ncei.noaa.gov/pub/data/paleo/contributions_by_author/lea2004/lea2004.txt" TargetMode="External" Id="rId1"/></Relationships>
</file>

<file path=xl/worksheets/_rels/sheet25.xml.rels><Relationships xmlns="http://schemas.openxmlformats.org/package/2006/relationships"><Relationship Type="http://schemas.openxmlformats.org/officeDocument/2006/relationships/hyperlink" Target="https://www.ncei.noaa.gov/pub/data/paleo/paleocean/sediment_files/complete/sk157_4-tab.txt" TargetMode="External" Id="rId1"/></Relationships>
</file>

<file path=xl/worksheets/sheet1.xml><?xml version="1.0" encoding="utf-8"?>
<worksheet xmlns="http://schemas.openxmlformats.org/spreadsheetml/2006/main">
  <sheetPr>
    <tabColor theme="6"/>
    <outlinePr summaryBelow="1" summaryRight="1"/>
    <pageSetUpPr/>
  </sheetPr>
  <dimension ref="A1:U2"/>
  <sheetViews>
    <sheetView workbookViewId="0">
      <selection activeCell="C8" sqref="C8"/>
    </sheetView>
  </sheetViews>
  <sheetFormatPr baseColWidth="10" defaultColWidth="11.5703125" defaultRowHeight="16"/>
  <sheetData>
    <row r="1" ht="47" customFormat="1" customHeight="1" s="2">
      <c r="A1" s="3" t="inlineStr">
        <is>
          <t>ID</t>
        </is>
      </c>
      <c r="B1" s="3" t="inlineStr">
        <is>
          <t>Longitude</t>
        </is>
      </c>
      <c r="C1" s="3" t="inlineStr">
        <is>
          <t>Latitude</t>
        </is>
      </c>
      <c r="D1" s="3" t="inlineStr">
        <is>
          <t>Proxy</t>
        </is>
      </c>
      <c r="E1" s="4" t="inlineStr">
        <is>
          <t>Tie Point Depth (cm)</t>
        </is>
      </c>
      <c r="F1" s="4" t="inlineStr">
        <is>
          <t>Tie Point Age (yr)</t>
        </is>
      </c>
      <c r="G1" s="4" t="inlineStr">
        <is>
          <t>Tie Point Uncertainty (yr)</t>
        </is>
      </c>
      <c r="H1" s="4" t="inlineStr">
        <is>
          <t>Hadley Bias Correction</t>
        </is>
      </c>
      <c r="I1" s="4" t="inlineStr">
        <is>
          <t>Hadley uncertainty</t>
        </is>
      </c>
      <c r="J1" s="4" t="inlineStr">
        <is>
          <t>TF Uncertainty</t>
        </is>
      </c>
      <c r="K1" s="4" t="inlineStr">
        <is>
          <t>SS Uncertainty</t>
        </is>
      </c>
      <c r="L1" s="4" t="inlineStr">
        <is>
          <t>Benthic d18O Depth (cm)</t>
        </is>
      </c>
      <c r="M1" s="4" t="inlineStr">
        <is>
          <t>Benthic d18O (per mil)</t>
        </is>
      </c>
      <c r="N1" s="4" t="inlineStr">
        <is>
          <t>Depth (cm)</t>
        </is>
      </c>
      <c r="O1" s="4" t="inlineStr">
        <is>
          <t>Proxy Value</t>
        </is>
      </c>
      <c r="P1" s="4" t="inlineStr">
        <is>
          <t>SST (ºC)</t>
        </is>
      </c>
      <c r="Q1" s="4" t="inlineStr">
        <is>
          <t>Biascorr</t>
        </is>
      </c>
      <c r="R1" s="4" t="inlineStr">
        <is>
          <t>Age (yr)</t>
        </is>
      </c>
      <c r="S1" s="4" t="inlineStr">
        <is>
          <t>SST -2sd</t>
        </is>
      </c>
      <c r="T1" s="4" t="inlineStr">
        <is>
          <t>SST mean</t>
        </is>
      </c>
      <c r="U1" s="4" t="inlineStr">
        <is>
          <t>SST +2sd</t>
        </is>
      </c>
    </row>
    <row r="2">
      <c r="E2" s="28" t="inlineStr">
        <is>
          <t>Note: these data are absent in most sheets</t>
        </is>
      </c>
      <c r="F2" s="30" t="n"/>
      <c r="G2" s="30" t="n"/>
      <c r="H2" s="30" t="n"/>
      <c r="I2" s="30" t="n"/>
      <c r="J2" s="30" t="n"/>
      <c r="K2" s="30" t="n"/>
      <c r="N2" s="27" t="inlineStr">
        <is>
          <t>Note: because we have 1 sheet per proxy, these data are inferred from the same proxy.</t>
        </is>
      </c>
    </row>
  </sheetData>
  <mergeCells count="2">
    <mergeCell ref="E2:K2"/>
    <mergeCell ref="N2:U2"/>
  </mergeCells>
  <pageMargins left="0.7" right="0.7" top="0.75" bottom="0.75" header="0.3" footer="0.3"/>
  <pageSetup orientation="portrait" horizontalDpi="0" verticalDpi="0"/>
</worksheet>
</file>

<file path=xl/worksheets/sheet2.xml><?xml version="1.0" encoding="utf-8"?>
<worksheet xmlns="http://schemas.openxmlformats.org/spreadsheetml/2006/main">
  <sheetPr>
    <tabColor rgb="FF0000FF"/>
    <outlinePr summaryBelow="1" summaryRight="1"/>
    <pageSetUpPr/>
  </sheetPr>
  <dimension ref="A1:Z200"/>
  <sheetViews>
    <sheetView topLeftCell="N1" zoomScale="64" workbookViewId="0">
      <selection activeCell="P13" sqref="P1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ht="17" customHeight="1" s="29">
      <c r="A2" s="9" t="inlineStr">
        <is>
          <t>ODP1148</t>
        </is>
      </c>
      <c r="B2" s="16" t="n">
        <v>116.566</v>
      </c>
      <c r="C2" s="16" t="n">
        <v>18.836</v>
      </c>
      <c r="D2" s="16" t="inlineStr">
        <is>
          <t>TEX86</t>
        </is>
      </c>
      <c r="E2" s="1" t="n"/>
      <c r="F2" s="1" t="n"/>
      <c r="G2" s="1" t="n"/>
      <c r="H2" s="17" t="n"/>
      <c r="I2" s="17" t="n"/>
      <c r="J2" s="17" t="n"/>
      <c r="K2" s="17" t="n"/>
      <c r="L2" s="17" t="n"/>
      <c r="M2" s="18" t="n"/>
      <c r="N2" s="17" t="n">
        <v>1499</v>
      </c>
      <c r="O2" t="n">
        <v>0.606</v>
      </c>
      <c r="P2" s="1" t="inlineStr">
        <is>
          <t xml:space="preserve">18.8 </t>
        </is>
      </c>
      <c r="Q2" s="1" t="n"/>
      <c r="R2" s="19" t="n">
        <v>115040</v>
      </c>
      <c r="S2" s="1" t="n"/>
      <c r="T2" s="1" t="inlineStr">
        <is>
          <t xml:space="preserve">18.8 </t>
        </is>
      </c>
      <c r="U2" s="1" t="n"/>
      <c r="V2" s="6" t="inlineStr">
        <is>
          <t>Li, D., M. Zhao, and J. Tian. 2017. Low-high latitude interaction forcing on the evolution of the 400 kyr cycle in East Asian winter monsoon records during the last 2.8 Myr. Quaternary Science Reviews, 172, 72-82. doi: 10.1016/j.quascirev.2017.08.005</t>
        </is>
      </c>
      <c r="W2" s="13" t="inlineStr">
        <is>
          <t>https://www.ncei.noaa.gov/pub/data/paleo/contributions_by_author/li2017/li2017.txt</t>
        </is>
      </c>
      <c r="Z2" t="n">
        <v>-3296</v>
      </c>
    </row>
    <row r="3" ht="17" customHeight="1" s="29">
      <c r="B3" s="1" t="n"/>
      <c r="C3" s="1" t="n"/>
      <c r="D3" s="1" t="n"/>
      <c r="E3" s="1" t="n"/>
      <c r="F3" s="1" t="n"/>
      <c r="G3" s="1" t="n"/>
      <c r="H3" s="17" t="n"/>
      <c r="I3" s="17" t="n"/>
      <c r="J3" s="17" t="n"/>
      <c r="K3" s="17" t="n"/>
      <c r="L3" s="17" t="n"/>
      <c r="M3" s="18" t="n"/>
      <c r="N3" s="17" t="n">
        <v>1551</v>
      </c>
      <c r="O3" t="n">
        <v>0.669</v>
      </c>
      <c r="P3" s="1" t="inlineStr">
        <is>
          <t xml:space="preserve">21.2 </t>
        </is>
      </c>
      <c r="Q3" s="1" t="n"/>
      <c r="R3" s="15" t="n">
        <v>119200</v>
      </c>
      <c r="S3" s="1" t="n"/>
      <c r="T3" s="1" t="inlineStr">
        <is>
          <t xml:space="preserve">21.2 </t>
        </is>
      </c>
      <c r="U3" s="1" t="n"/>
    </row>
    <row r="4" ht="17" customHeight="1" s="29">
      <c r="B4" s="1" t="n"/>
      <c r="C4" s="1" t="n"/>
      <c r="D4" s="1" t="n"/>
      <c r="E4" s="1" t="n"/>
      <c r="F4" s="1" t="n"/>
      <c r="G4" s="1" t="n"/>
      <c r="H4" s="17" t="n"/>
      <c r="I4" s="17" t="n"/>
      <c r="J4" s="17" t="n"/>
      <c r="K4" s="17" t="n"/>
      <c r="L4" s="17" t="n"/>
      <c r="M4" s="18" t="n"/>
      <c r="N4" s="17" t="n">
        <v>1601</v>
      </c>
      <c r="O4" t="n">
        <v>0.643</v>
      </c>
      <c r="P4" s="1" t="inlineStr">
        <is>
          <t xml:space="preserve">20.2 </t>
        </is>
      </c>
      <c r="Q4" s="1" t="n"/>
      <c r="R4" s="15" t="n">
        <v>123200</v>
      </c>
      <c r="S4" s="1" t="n"/>
      <c r="T4" s="1" t="inlineStr">
        <is>
          <t xml:space="preserve">20.2 </t>
        </is>
      </c>
      <c r="U4" s="1" t="n"/>
    </row>
    <row r="5" ht="17" customHeight="1" s="29">
      <c r="B5" s="1" t="n"/>
      <c r="C5" s="1" t="n"/>
      <c r="D5" s="1" t="n"/>
      <c r="E5" s="1" t="n"/>
      <c r="F5" s="1" t="n"/>
      <c r="G5" s="1" t="n"/>
      <c r="H5" s="17" t="n"/>
      <c r="I5" s="17" t="n"/>
      <c r="J5" s="17" t="n"/>
      <c r="K5" s="17" t="n"/>
      <c r="L5" s="17" t="n"/>
      <c r="M5" s="18" t="n"/>
      <c r="N5" s="17" t="n">
        <v>1651</v>
      </c>
      <c r="O5" t="n">
        <v>0.594</v>
      </c>
      <c r="P5" s="1" t="inlineStr">
        <is>
          <t xml:space="preserve">18.4 </t>
        </is>
      </c>
      <c r="Q5" s="1" t="n"/>
      <c r="R5" s="15" t="n">
        <v>128465</v>
      </c>
      <c r="S5" s="1" t="n"/>
      <c r="T5" s="1" t="inlineStr">
        <is>
          <t xml:space="preserve">18.4 </t>
        </is>
      </c>
      <c r="U5" s="1" t="n"/>
    </row>
    <row r="6" ht="17" customHeight="1" s="29">
      <c r="B6" s="1" t="n"/>
      <c r="C6" s="1" t="n"/>
      <c r="D6" s="1" t="n"/>
      <c r="E6" s="17" t="n"/>
      <c r="F6" s="17" t="n"/>
      <c r="G6" s="17" t="n"/>
      <c r="H6" s="17" t="n"/>
      <c r="I6" s="17" t="n"/>
      <c r="J6" s="17" t="n"/>
      <c r="K6" s="17" t="n"/>
      <c r="L6" s="17" t="n"/>
      <c r="M6" s="18" t="n"/>
      <c r="N6" s="17" t="n">
        <v>1701</v>
      </c>
      <c r="O6" t="n">
        <v>0.57</v>
      </c>
      <c r="P6" s="1" t="inlineStr">
        <is>
          <t xml:space="preserve">17.4 </t>
        </is>
      </c>
      <c r="Q6" s="1" t="n"/>
      <c r="R6" s="15" t="n">
        <v>134047</v>
      </c>
      <c r="S6" s="1" t="n"/>
      <c r="T6" s="1" t="inlineStr">
        <is>
          <t xml:space="preserve">17.4 </t>
        </is>
      </c>
      <c r="U6" s="1" t="n"/>
    </row>
    <row r="7" ht="17" customHeight="1" s="29">
      <c r="B7" s="1" t="n"/>
      <c r="C7" s="1" t="n"/>
      <c r="D7" s="1" t="n"/>
      <c r="E7" s="17" t="n"/>
      <c r="F7" s="17" t="n"/>
      <c r="G7" s="17" t="n"/>
      <c r="H7" s="17" t="n"/>
      <c r="I7" s="17" t="n"/>
      <c r="J7" s="17" t="n"/>
      <c r="K7" s="17" t="n"/>
      <c r="L7" s="17" t="n"/>
      <c r="M7" s="18" t="n"/>
      <c r="N7" s="17" t="n">
        <v>1751</v>
      </c>
      <c r="O7" t="n">
        <v>0.571</v>
      </c>
      <c r="P7" s="1" t="inlineStr">
        <is>
          <t xml:space="preserve">17.4 </t>
        </is>
      </c>
      <c r="Q7" s="1" t="n"/>
      <c r="R7" s="15" t="n">
        <v>139628</v>
      </c>
      <c r="S7" s="1" t="n"/>
      <c r="T7" s="1" t="inlineStr">
        <is>
          <t xml:space="preserve">17.4 </t>
        </is>
      </c>
      <c r="U7" s="1" t="n"/>
    </row>
    <row r="8">
      <c r="B8" s="1" t="n"/>
      <c r="C8" s="1" t="n"/>
      <c r="D8" s="1" t="n"/>
      <c r="E8" s="17" t="n"/>
      <c r="F8" s="17" t="n"/>
      <c r="G8" s="17" t="n"/>
      <c r="H8" s="17" t="n"/>
      <c r="I8" s="17" t="n"/>
      <c r="J8" s="17" t="n"/>
      <c r="K8" s="17" t="n"/>
      <c r="L8" s="17" t="n"/>
      <c r="M8" s="17" t="n"/>
      <c r="N8" s="17" t="n"/>
      <c r="O8" s="17" t="n"/>
      <c r="P8" s="17" t="n"/>
      <c r="Q8" s="1" t="n"/>
      <c r="R8" s="1" t="n"/>
      <c r="S8" s="1" t="n"/>
      <c r="T8" s="1" t="n"/>
      <c r="U8" s="1" t="n"/>
    </row>
    <row r="9">
      <c r="B9" s="1" t="n"/>
      <c r="C9" s="1" t="n"/>
      <c r="D9" s="1" t="n"/>
      <c r="E9" s="17" t="n"/>
      <c r="F9" s="17" t="n"/>
      <c r="G9" s="17" t="n"/>
      <c r="H9" s="17" t="n"/>
      <c r="I9" s="17" t="n"/>
      <c r="J9" s="17" t="n"/>
      <c r="K9" s="17" t="n"/>
      <c r="L9" s="17" t="n"/>
      <c r="M9" s="17" t="n"/>
      <c r="N9" s="17" t="n"/>
      <c r="O9" s="17" t="n"/>
      <c r="P9" s="17" t="n"/>
      <c r="Q9" s="1" t="n"/>
      <c r="R9" s="1" t="n"/>
      <c r="S9" s="1" t="n"/>
      <c r="T9" s="1" t="n"/>
      <c r="U9" s="1" t="n"/>
    </row>
    <row r="10">
      <c r="B10" s="1" t="n"/>
      <c r="C10" s="1" t="n"/>
      <c r="D10" s="1" t="n"/>
      <c r="E10" s="17" t="n"/>
      <c r="F10" s="17" t="n"/>
      <c r="G10" s="17" t="n"/>
      <c r="H10" s="17" t="n"/>
      <c r="I10" s="17" t="n"/>
      <c r="J10" s="17" t="n"/>
      <c r="K10" s="17" t="n"/>
      <c r="L10" s="17" t="n"/>
      <c r="M10" s="17" t="n"/>
      <c r="N10" s="17" t="n"/>
      <c r="O10" s="17" t="n"/>
      <c r="P10" s="17" t="n"/>
      <c r="Q10" s="1" t="n"/>
      <c r="R10" s="1" t="n"/>
      <c r="S10" s="1" t="n"/>
      <c r="T10" s="1" t="n"/>
      <c r="U10" s="1" t="n"/>
    </row>
    <row r="11">
      <c r="B11" s="1" t="n"/>
      <c r="C11" s="1" t="n"/>
      <c r="D11" s="1" t="n"/>
      <c r="E11" s="17" t="n"/>
      <c r="F11" s="17" t="n"/>
      <c r="G11" s="17" t="n"/>
      <c r="H11" s="17" t="n"/>
      <c r="I11" s="17" t="n"/>
      <c r="J11" s="17" t="n"/>
      <c r="K11" s="17" t="n"/>
      <c r="L11" s="17" t="n"/>
      <c r="M11" s="17" t="n"/>
      <c r="N11" s="17" t="n"/>
      <c r="O11" s="17" t="n"/>
      <c r="P11" s="17" t="n"/>
      <c r="Q11" s="1" t="n"/>
      <c r="R11" s="1" t="n"/>
      <c r="S11" s="1" t="n"/>
      <c r="T11" s="1" t="n"/>
      <c r="U11" s="1" t="n"/>
    </row>
    <row r="12">
      <c r="B12" s="1" t="n"/>
      <c r="C12" s="1" t="n"/>
      <c r="D12" s="1" t="n"/>
      <c r="E12" s="17" t="n"/>
      <c r="F12" s="17" t="n"/>
      <c r="G12" s="17" t="n"/>
      <c r="H12" s="17" t="n"/>
      <c r="I12" s="17" t="n"/>
      <c r="J12" s="17" t="n"/>
      <c r="K12" s="17" t="n"/>
      <c r="L12" s="17" t="n"/>
      <c r="M12" s="17" t="n"/>
      <c r="N12" s="17" t="n"/>
      <c r="O12" s="17" t="n"/>
      <c r="P12" s="17" t="n"/>
      <c r="Q12" s="1" t="n"/>
      <c r="R12" s="1" t="n"/>
      <c r="S12" s="1" t="n"/>
      <c r="T12" s="1" t="n"/>
      <c r="U12" s="1" t="n"/>
    </row>
    <row r="13">
      <c r="B13" s="1" t="n"/>
      <c r="C13" s="1" t="n"/>
      <c r="D13" s="1" t="n"/>
      <c r="E13" s="17" t="n"/>
      <c r="F13" s="17" t="n"/>
      <c r="G13" s="17" t="n"/>
      <c r="H13" s="17" t="n"/>
      <c r="I13" s="17" t="n"/>
      <c r="J13" s="17" t="n"/>
      <c r="K13" s="17" t="n"/>
      <c r="L13" s="17" t="n"/>
      <c r="M13" s="17" t="n"/>
      <c r="N13" s="17" t="n"/>
      <c r="O13" s="17" t="n"/>
      <c r="P13" s="17" t="n"/>
      <c r="Q13" s="1" t="n"/>
      <c r="R13" s="1" t="n"/>
      <c r="S13" s="1" t="n"/>
      <c r="T13" s="1" t="n"/>
      <c r="U13" s="1" t="n"/>
    </row>
    <row r="14">
      <c r="B14" s="1" t="n"/>
      <c r="C14" s="1" t="n"/>
      <c r="D14" s="1" t="n"/>
      <c r="E14" s="17" t="n"/>
      <c r="F14" s="17" t="n"/>
      <c r="G14" s="17" t="n"/>
      <c r="H14" s="17" t="n"/>
      <c r="I14" s="17" t="n"/>
      <c r="J14" s="17" t="n"/>
      <c r="K14" s="17" t="n"/>
      <c r="L14" s="17" t="n"/>
      <c r="M14" s="17" t="n"/>
      <c r="N14" s="17" t="n"/>
      <c r="O14" s="17" t="n"/>
      <c r="P14" s="17" t="n"/>
      <c r="Q14" s="1" t="n"/>
      <c r="R14" s="1" t="n"/>
      <c r="S14" s="1" t="n"/>
      <c r="T14" s="1" t="n"/>
      <c r="U14" s="1" t="n"/>
    </row>
    <row r="15">
      <c r="B15" s="1" t="n"/>
      <c r="C15" s="1" t="n"/>
      <c r="D15" s="1" t="n"/>
      <c r="E15" s="17" t="n"/>
      <c r="F15" s="17" t="n"/>
      <c r="G15" s="17" t="n"/>
      <c r="H15" s="17" t="n"/>
      <c r="I15" s="17" t="n"/>
      <c r="J15" s="17" t="n"/>
      <c r="K15" s="17" t="n"/>
      <c r="L15" s="17" t="n"/>
      <c r="M15" s="17" t="n"/>
      <c r="N15" s="17" t="n"/>
      <c r="O15" s="17" t="n"/>
      <c r="P15" s="17" t="n"/>
      <c r="Q15" s="1" t="n"/>
      <c r="R15" s="1" t="n"/>
      <c r="S15" s="1" t="n"/>
      <c r="T15" s="1" t="n"/>
      <c r="U15" s="1" t="n"/>
    </row>
    <row r="16">
      <c r="B16" s="1" t="n"/>
      <c r="C16" s="1" t="n"/>
      <c r="D16" s="1" t="n"/>
      <c r="E16" s="17" t="n"/>
      <c r="F16" s="17" t="n"/>
      <c r="G16" s="17" t="n"/>
      <c r="H16" s="17" t="n"/>
      <c r="I16" s="17" t="n"/>
      <c r="J16" s="17" t="n"/>
      <c r="K16" s="17" t="n"/>
      <c r="L16" s="17" t="n"/>
      <c r="M16" s="17" t="n"/>
      <c r="N16" s="17" t="n"/>
      <c r="O16" s="17" t="n"/>
      <c r="P16" s="17" t="n"/>
      <c r="Q16" s="1" t="n"/>
      <c r="R16" s="1" t="n"/>
      <c r="S16" s="1" t="n"/>
      <c r="T16" s="1" t="n"/>
      <c r="U16" s="1" t="n"/>
    </row>
    <row r="17">
      <c r="B17" s="1" t="n"/>
      <c r="C17" s="1" t="n"/>
      <c r="D17" s="1" t="n"/>
      <c r="E17" s="17" t="n"/>
      <c r="F17" s="17" t="n"/>
      <c r="G17" s="17" t="n"/>
      <c r="H17" s="17" t="n"/>
      <c r="I17" s="17" t="n"/>
      <c r="J17" s="17" t="n"/>
      <c r="K17" s="17" t="n"/>
      <c r="L17" s="17" t="n"/>
      <c r="M17" s="17" t="n"/>
      <c r="N17" s="17" t="n"/>
      <c r="O17" s="17" t="n"/>
      <c r="P17" s="17" t="n"/>
      <c r="Q17" s="1" t="n"/>
      <c r="R17" s="1" t="n"/>
      <c r="S17" s="1" t="n"/>
      <c r="T17" s="1" t="n"/>
      <c r="U17" s="1" t="n"/>
    </row>
    <row r="18">
      <c r="B18" s="1" t="n"/>
      <c r="C18" s="1" t="n"/>
      <c r="D18" s="1" t="n"/>
      <c r="E18" s="17" t="n"/>
      <c r="F18" s="17" t="n"/>
      <c r="G18" s="17" t="n"/>
      <c r="H18" s="17" t="n"/>
      <c r="I18" s="17" t="n"/>
      <c r="J18" s="17" t="n"/>
      <c r="K18" s="17" t="n"/>
      <c r="L18" s="17" t="n"/>
      <c r="M18" s="17" t="n"/>
      <c r="N18" s="17" t="n"/>
      <c r="O18" s="17" t="n"/>
      <c r="P18" s="17" t="n"/>
      <c r="Q18" s="1" t="n"/>
      <c r="R18" s="1" t="n"/>
      <c r="S18" s="1" t="n"/>
      <c r="T18" s="1" t="n"/>
      <c r="U18" s="1" t="n"/>
    </row>
    <row r="19">
      <c r="B19" s="1" t="n"/>
      <c r="C19" s="1" t="n"/>
      <c r="D19" s="1" t="n"/>
      <c r="E19" s="17" t="n"/>
      <c r="F19" s="17" t="n"/>
      <c r="G19" s="17" t="n"/>
      <c r="H19" s="17" t="n"/>
      <c r="I19" s="17" t="n"/>
      <c r="J19" s="17" t="n"/>
      <c r="K19" s="17" t="n"/>
      <c r="L19" s="17" t="n"/>
      <c r="M19" s="17" t="n"/>
      <c r="N19" s="17" t="n"/>
      <c r="O19" s="17" t="n"/>
      <c r="P19" s="17" t="n"/>
      <c r="Q19" s="1" t="n"/>
      <c r="R19" s="1" t="n"/>
      <c r="S19" s="1" t="n"/>
      <c r="T19" s="1" t="n"/>
      <c r="U19" s="1" t="n"/>
    </row>
    <row r="20">
      <c r="B20" s="1" t="n"/>
      <c r="C20" s="1" t="n"/>
      <c r="D20" s="1" t="n"/>
      <c r="E20" s="17" t="n"/>
      <c r="F20" s="17" t="n"/>
      <c r="G20" s="17" t="n"/>
      <c r="H20" s="17" t="n"/>
      <c r="I20" s="17" t="n"/>
      <c r="J20" s="17" t="n"/>
      <c r="K20" s="17" t="n"/>
      <c r="L20" s="17" t="n"/>
      <c r="M20" s="17" t="n"/>
      <c r="N20" s="17" t="n"/>
      <c r="O20" s="17" t="n"/>
      <c r="P20" s="17" t="n"/>
      <c r="Q20" s="1" t="n"/>
      <c r="R20" s="1" t="n"/>
      <c r="S20" s="1" t="n"/>
      <c r="T20" s="1" t="n"/>
      <c r="U20" s="1" t="n"/>
    </row>
    <row r="21">
      <c r="B21" s="1" t="n"/>
      <c r="C21" s="1" t="n"/>
      <c r="D21" s="1" t="n"/>
      <c r="E21" s="17" t="n"/>
      <c r="F21" s="17" t="n"/>
      <c r="G21" s="17" t="n"/>
      <c r="H21" s="17" t="n"/>
      <c r="I21" s="17" t="n"/>
      <c r="J21" s="17" t="n"/>
      <c r="K21" s="17" t="n"/>
      <c r="L21" s="17" t="n"/>
      <c r="M21" s="17" t="n"/>
      <c r="N21" s="17" t="n"/>
      <c r="O21" s="17" t="n"/>
      <c r="P21" s="17" t="n"/>
      <c r="Q21" s="1" t="n"/>
      <c r="R21" s="1" t="n"/>
      <c r="S21" s="1" t="n"/>
      <c r="T21" s="1" t="n"/>
      <c r="U21" s="1" t="n"/>
    </row>
    <row r="22">
      <c r="B22" s="1" t="n"/>
      <c r="C22" s="1" t="n"/>
      <c r="D22" s="1" t="n"/>
      <c r="E22" s="17" t="n"/>
      <c r="F22" s="17" t="n"/>
      <c r="G22" s="17" t="n"/>
      <c r="H22" s="17" t="n"/>
      <c r="I22" s="17" t="n"/>
      <c r="J22" s="17" t="n"/>
      <c r="K22" s="17" t="n"/>
      <c r="L22" s="17" t="n"/>
      <c r="M22" s="17" t="n"/>
      <c r="N22" s="17" t="n"/>
      <c r="O22" s="17" t="n"/>
      <c r="P22" s="17" t="n"/>
      <c r="Q22" s="1" t="n"/>
      <c r="R22" s="1" t="n"/>
      <c r="S22" s="1" t="n"/>
      <c r="T22" s="1" t="n"/>
      <c r="U22" s="1" t="n"/>
    </row>
    <row r="23">
      <c r="B23" s="1" t="n"/>
      <c r="C23" s="1" t="n"/>
      <c r="D23" s="1" t="n"/>
      <c r="E23" s="17" t="n"/>
      <c r="F23" s="17" t="n"/>
      <c r="G23" s="17" t="n"/>
      <c r="H23" s="17" t="n"/>
      <c r="I23" s="17" t="n"/>
      <c r="J23" s="17" t="n"/>
      <c r="K23" s="17" t="n"/>
      <c r="L23" s="17" t="n"/>
      <c r="M23" s="17" t="n"/>
      <c r="N23" s="17" t="n"/>
      <c r="O23" s="17" t="n"/>
      <c r="P23" s="17" t="n"/>
      <c r="Q23" s="1" t="n"/>
      <c r="R23" s="1" t="n"/>
      <c r="S23" s="1" t="n"/>
      <c r="T23" s="1" t="n"/>
      <c r="U23" s="1" t="n"/>
    </row>
    <row r="24">
      <c r="B24" s="1" t="n"/>
      <c r="C24" s="1" t="n"/>
      <c r="D24" s="1" t="n"/>
      <c r="E24" s="17" t="n"/>
      <c r="F24" s="17" t="n"/>
      <c r="G24" s="17" t="n"/>
      <c r="H24" s="17" t="n"/>
      <c r="I24" s="17" t="n"/>
      <c r="J24" s="17" t="n"/>
      <c r="K24" s="17" t="n"/>
      <c r="L24" s="17" t="n"/>
      <c r="M24" s="17" t="n"/>
      <c r="N24" s="17" t="n"/>
      <c r="O24" s="17" t="n"/>
      <c r="P24" s="17" t="n"/>
      <c r="Q24" s="1" t="n"/>
      <c r="R24" s="1" t="n"/>
      <c r="S24" s="1" t="n"/>
      <c r="T24" s="1" t="n"/>
      <c r="U24" s="1" t="n"/>
    </row>
    <row r="25">
      <c r="B25" s="1" t="n"/>
      <c r="C25" s="1" t="n"/>
      <c r="D25" s="1" t="n"/>
      <c r="E25" s="17" t="n"/>
      <c r="F25" s="17" t="n"/>
      <c r="G25" s="17" t="n"/>
      <c r="H25" s="17" t="n"/>
      <c r="I25" s="17" t="n"/>
      <c r="J25" s="17" t="n"/>
      <c r="K25" s="17" t="n"/>
      <c r="L25" s="17" t="n"/>
      <c r="M25" s="17" t="n"/>
      <c r="N25" s="17" t="n"/>
      <c r="O25" s="17" t="n"/>
      <c r="P25" s="17" t="n"/>
      <c r="Q25" s="1" t="n"/>
      <c r="R25" s="1" t="n"/>
      <c r="S25" s="1" t="n"/>
      <c r="T25" s="1" t="n"/>
      <c r="U25" s="1" t="n"/>
    </row>
    <row r="26">
      <c r="B26" s="1" t="n"/>
      <c r="C26" s="1" t="n"/>
      <c r="D26" s="1" t="n"/>
      <c r="E26" s="17" t="n"/>
      <c r="F26" s="17" t="n"/>
      <c r="G26" s="17" t="n"/>
      <c r="H26" s="17" t="n"/>
      <c r="I26" s="17" t="n"/>
      <c r="J26" s="17" t="n"/>
      <c r="K26" s="17" t="n"/>
      <c r="L26" s="17" t="n"/>
      <c r="M26" s="17" t="n"/>
      <c r="N26" s="17" t="n"/>
      <c r="O26" s="17" t="n"/>
      <c r="P26" s="17" t="n"/>
      <c r="Q26" s="1" t="n"/>
      <c r="R26" s="1" t="n"/>
      <c r="S26" s="1" t="n"/>
      <c r="T26" s="1" t="n"/>
      <c r="U26" s="1" t="n"/>
    </row>
    <row r="27">
      <c r="B27" s="1" t="n"/>
      <c r="C27" s="1" t="n"/>
      <c r="D27" s="1" t="n"/>
      <c r="E27" s="17" t="n"/>
      <c r="F27" s="17" t="n"/>
      <c r="G27" s="17" t="n"/>
      <c r="H27" s="17" t="n"/>
      <c r="I27" s="17" t="n"/>
      <c r="J27" s="17" t="n"/>
      <c r="K27" s="17" t="n"/>
      <c r="L27" s="17" t="n"/>
      <c r="M27" s="17" t="n"/>
      <c r="N27" s="17" t="n"/>
      <c r="O27" s="17" t="n"/>
      <c r="P27" s="17" t="n"/>
      <c r="Q27" s="1" t="n"/>
      <c r="R27" s="1" t="n"/>
      <c r="S27" s="1" t="n"/>
      <c r="T27" s="1" t="n"/>
      <c r="U27" s="1" t="n"/>
    </row>
    <row r="28">
      <c r="B28" s="1" t="n"/>
      <c r="C28" s="1" t="n"/>
      <c r="D28" s="1" t="n"/>
      <c r="E28" s="17" t="n"/>
      <c r="F28" s="17" t="n"/>
      <c r="G28" s="17" t="n"/>
      <c r="H28" s="17" t="n"/>
      <c r="I28" s="17" t="n"/>
      <c r="J28" s="17" t="n"/>
      <c r="K28" s="17" t="n"/>
      <c r="L28" s="17" t="n"/>
      <c r="M28" s="17" t="n"/>
      <c r="N28" s="17" t="n"/>
      <c r="O28" s="17" t="n"/>
      <c r="P28" s="17" t="n"/>
      <c r="Q28" s="1" t="n"/>
      <c r="R28" s="1" t="n"/>
      <c r="S28" s="1" t="n"/>
      <c r="T28" s="1" t="n"/>
      <c r="U28" s="1" t="n"/>
    </row>
    <row r="29">
      <c r="B29" s="1" t="n"/>
      <c r="C29" s="1" t="n"/>
      <c r="D29" s="1" t="n"/>
      <c r="E29" s="17" t="n"/>
      <c r="F29" s="17" t="n"/>
      <c r="G29" s="17" t="n"/>
      <c r="H29" s="17" t="n"/>
      <c r="I29" s="17" t="n"/>
      <c r="J29" s="17" t="n"/>
      <c r="K29" s="17" t="n"/>
      <c r="L29" s="17" t="n"/>
      <c r="M29" s="17" t="n"/>
      <c r="N29" s="17" t="n"/>
      <c r="O29" s="17" t="n"/>
      <c r="P29" s="17" t="n"/>
      <c r="Q29" s="1" t="n"/>
      <c r="R29" s="1" t="n"/>
      <c r="S29" s="1" t="n"/>
      <c r="T29" s="1" t="n"/>
      <c r="U29" s="1" t="n"/>
    </row>
    <row r="30">
      <c r="B30" s="1" t="n"/>
      <c r="C30" s="1" t="n"/>
      <c r="D30" s="1" t="n"/>
      <c r="E30" s="17" t="n"/>
      <c r="F30" s="17" t="n"/>
      <c r="G30" s="17" t="n"/>
      <c r="H30" s="17" t="n"/>
      <c r="I30" s="17" t="n"/>
      <c r="J30" s="17" t="n"/>
      <c r="K30" s="17" t="n"/>
      <c r="L30" s="17" t="n"/>
      <c r="M30" s="17" t="n"/>
      <c r="N30" s="17" t="n"/>
      <c r="O30" s="17" t="n"/>
      <c r="P30" s="17" t="n"/>
      <c r="Q30" s="1" t="n"/>
      <c r="R30" s="1" t="n"/>
      <c r="S30" s="1" t="n"/>
      <c r="T30" s="1" t="n"/>
      <c r="U30" s="1" t="n"/>
    </row>
    <row r="31">
      <c r="B31" s="1" t="n"/>
      <c r="C31" s="1" t="n"/>
      <c r="D31" s="1" t="n"/>
      <c r="E31" s="17" t="n"/>
      <c r="F31" s="17" t="n"/>
      <c r="G31" s="17" t="n"/>
      <c r="H31" s="17" t="n"/>
      <c r="I31" s="17" t="n"/>
      <c r="J31" s="17" t="n"/>
      <c r="K31" s="17" t="n"/>
      <c r="L31" s="17" t="n"/>
      <c r="M31" s="17" t="n"/>
      <c r="N31" s="17" t="n"/>
      <c r="O31" s="17" t="n"/>
      <c r="P31" s="17" t="n"/>
      <c r="Q31" s="1" t="n"/>
      <c r="R31" s="1" t="n"/>
      <c r="S31" s="1" t="n"/>
      <c r="T31" s="1" t="n"/>
      <c r="U31" s="1" t="n"/>
    </row>
    <row r="32">
      <c r="B32" s="1" t="n"/>
      <c r="C32" s="1" t="n"/>
      <c r="D32" s="1" t="n"/>
      <c r="E32" s="17" t="n"/>
      <c r="F32" s="17" t="n"/>
      <c r="G32" s="17" t="n"/>
      <c r="H32" s="17" t="n"/>
      <c r="I32" s="17" t="n"/>
      <c r="J32" s="17" t="n"/>
      <c r="K32" s="17" t="n"/>
      <c r="L32" s="17" t="n"/>
      <c r="M32" s="17" t="n"/>
      <c r="N32" s="17" t="n"/>
      <c r="O32" s="17" t="n"/>
      <c r="P32" s="17" t="n"/>
      <c r="Q32" s="1" t="n"/>
      <c r="R32" s="1" t="n"/>
      <c r="S32" s="1" t="n"/>
      <c r="T32" s="1" t="n"/>
      <c r="U32" s="1" t="n"/>
    </row>
    <row r="33">
      <c r="B33" s="1" t="n"/>
      <c r="C33" s="1" t="n"/>
      <c r="D33" s="1" t="n"/>
      <c r="E33" s="17" t="n"/>
      <c r="F33" s="17" t="n"/>
      <c r="G33" s="17" t="n"/>
      <c r="H33" s="17" t="n"/>
      <c r="I33" s="17" t="n"/>
      <c r="J33" s="17" t="n"/>
      <c r="K33" s="17" t="n"/>
      <c r="L33" s="17" t="n"/>
      <c r="M33" s="17" t="n"/>
      <c r="N33" s="17" t="n"/>
      <c r="O33" s="17" t="n"/>
      <c r="P33" s="17" t="n"/>
      <c r="Q33" s="1" t="n"/>
      <c r="R33" s="1" t="n"/>
      <c r="S33" s="1" t="n"/>
      <c r="T33" s="1" t="n"/>
      <c r="U33" s="1" t="n"/>
    </row>
    <row r="34">
      <c r="B34" s="1" t="n"/>
      <c r="C34" s="1" t="n"/>
      <c r="D34" s="1" t="n"/>
      <c r="E34" s="17" t="n"/>
      <c r="F34" s="17" t="n"/>
      <c r="G34" s="17" t="n"/>
      <c r="H34" s="17" t="n"/>
      <c r="I34" s="17" t="n"/>
      <c r="J34" s="17" t="n"/>
      <c r="K34" s="17" t="n"/>
      <c r="L34" s="17" t="n"/>
      <c r="M34" s="17" t="n"/>
      <c r="N34" s="17" t="n"/>
      <c r="O34" s="17" t="n"/>
      <c r="P34" s="17" t="n"/>
      <c r="Q34" s="1" t="n"/>
      <c r="R34" s="1" t="n"/>
      <c r="S34" s="1" t="n"/>
      <c r="T34" s="1" t="n"/>
      <c r="U34" s="1" t="n"/>
    </row>
    <row r="35">
      <c r="B35" s="1" t="n"/>
      <c r="C35" s="1" t="n"/>
      <c r="D35" s="1" t="n"/>
      <c r="E35" s="17" t="n"/>
      <c r="F35" s="17" t="n"/>
      <c r="G35" s="17" t="n"/>
      <c r="H35" s="17" t="n"/>
      <c r="I35" s="17" t="n"/>
      <c r="J35" s="17" t="n"/>
      <c r="K35" s="17" t="n"/>
      <c r="L35" s="17" t="n"/>
      <c r="M35" s="17" t="n"/>
      <c r="N35" s="17" t="n"/>
      <c r="O35" s="17" t="n"/>
      <c r="P35" s="17" t="n"/>
      <c r="Q35" s="1" t="n"/>
      <c r="R35" s="1" t="n"/>
      <c r="S35" s="1" t="n"/>
      <c r="T35" s="1" t="n"/>
      <c r="U35" s="1" t="n"/>
    </row>
    <row r="36">
      <c r="B36" s="1" t="n"/>
      <c r="C36" s="1" t="n"/>
      <c r="D36" s="1" t="n"/>
      <c r="E36" s="17" t="n"/>
      <c r="F36" s="17" t="n"/>
      <c r="G36" s="17" t="n"/>
      <c r="H36" s="17" t="n"/>
      <c r="I36" s="17" t="n"/>
      <c r="J36" s="17" t="n"/>
      <c r="K36" s="17" t="n"/>
      <c r="L36" s="17" t="n"/>
      <c r="M36" s="17" t="n"/>
      <c r="N36" s="17" t="n"/>
      <c r="O36" s="17" t="n"/>
      <c r="P36" s="17" t="n"/>
      <c r="Q36" s="1" t="n"/>
      <c r="R36" s="1" t="n"/>
      <c r="S36" s="1" t="n"/>
      <c r="T36" s="1" t="n"/>
      <c r="U36" s="1" t="n"/>
    </row>
    <row r="37">
      <c r="B37" s="1" t="n"/>
      <c r="C37" s="1" t="n"/>
      <c r="D37" s="1" t="n"/>
      <c r="E37" s="17" t="n"/>
      <c r="F37" s="17" t="n"/>
      <c r="G37" s="17" t="n"/>
      <c r="H37" s="17" t="n"/>
      <c r="I37" s="17" t="n"/>
      <c r="J37" s="17" t="n"/>
      <c r="K37" s="17" t="n"/>
      <c r="L37" s="17" t="n"/>
      <c r="M37" s="17" t="n"/>
      <c r="N37" s="17" t="n"/>
      <c r="O37" s="17" t="n"/>
      <c r="P37" s="17" t="n"/>
      <c r="Q37" s="1" t="n"/>
      <c r="R37" s="1" t="n"/>
      <c r="S37" s="1" t="n"/>
      <c r="T37" s="1" t="n"/>
      <c r="U37" s="1" t="n"/>
    </row>
    <row r="38">
      <c r="B38" s="1" t="n"/>
      <c r="C38" s="1" t="n"/>
      <c r="D38" s="1" t="n"/>
      <c r="E38" s="17" t="n"/>
      <c r="F38" s="17" t="n"/>
      <c r="G38" s="17" t="n"/>
      <c r="H38" s="17" t="n"/>
      <c r="I38" s="17" t="n"/>
      <c r="J38" s="17" t="n"/>
      <c r="K38" s="17" t="n"/>
      <c r="L38" s="17" t="n"/>
      <c r="M38" s="17" t="n"/>
      <c r="N38" s="17" t="n"/>
      <c r="O38" s="17" t="n"/>
      <c r="P38" s="17" t="n"/>
      <c r="Q38" s="1" t="n"/>
      <c r="R38" s="1" t="n"/>
      <c r="S38" s="1" t="n"/>
      <c r="T38" s="1" t="n"/>
      <c r="U38" s="1" t="n"/>
    </row>
    <row r="39">
      <c r="B39" s="1" t="n"/>
      <c r="C39" s="1" t="n"/>
      <c r="D39" s="1" t="n"/>
      <c r="E39" s="17" t="n"/>
      <c r="F39" s="17" t="n"/>
      <c r="G39" s="17" t="n"/>
      <c r="H39" s="17" t="n"/>
      <c r="I39" s="17" t="n"/>
      <c r="J39" s="17" t="n"/>
      <c r="K39" s="17" t="n"/>
      <c r="L39" s="17" t="n"/>
      <c r="M39" s="17" t="n"/>
      <c r="N39" s="17" t="n"/>
      <c r="O39" s="17" t="n"/>
      <c r="P39" s="17" t="n"/>
      <c r="Q39" s="1" t="n"/>
      <c r="R39" s="1" t="n"/>
      <c r="S39" s="1" t="n"/>
      <c r="T39" s="1" t="n"/>
      <c r="U39" s="1" t="n"/>
    </row>
    <row r="40">
      <c r="B40" s="1" t="n"/>
      <c r="C40" s="1" t="n"/>
      <c r="D40" s="1" t="n"/>
      <c r="E40" s="17" t="n"/>
      <c r="F40" s="17" t="n"/>
      <c r="G40" s="17" t="n"/>
      <c r="H40" s="17" t="n"/>
      <c r="I40" s="17" t="n"/>
      <c r="J40" s="17" t="n"/>
      <c r="K40" s="17" t="n"/>
      <c r="L40" s="17" t="n"/>
      <c r="M40" s="17" t="n"/>
      <c r="N40" s="17" t="n"/>
      <c r="O40" s="17" t="n"/>
      <c r="P40" s="17" t="n"/>
      <c r="Q40" s="1" t="n"/>
      <c r="R40" s="1" t="n"/>
      <c r="S40" s="1" t="n"/>
      <c r="T40" s="1" t="n"/>
      <c r="U40" s="1" t="n"/>
    </row>
    <row r="41">
      <c r="B41" s="1" t="n"/>
      <c r="C41" s="1" t="n"/>
      <c r="D41" s="1" t="n"/>
      <c r="E41" s="17" t="n"/>
      <c r="F41" s="17" t="n"/>
      <c r="G41" s="17" t="n"/>
      <c r="H41" s="17" t="n"/>
      <c r="I41" s="17" t="n"/>
      <c r="J41" s="17" t="n"/>
      <c r="K41" s="17" t="n"/>
      <c r="L41" s="17" t="n"/>
      <c r="M41" s="17" t="n"/>
      <c r="N41" s="17" t="n"/>
      <c r="O41" s="17" t="n"/>
      <c r="P41" s="17" t="n"/>
      <c r="Q41" s="1" t="n"/>
      <c r="R41" s="1" t="n"/>
      <c r="S41" s="1" t="n"/>
      <c r="T41" s="1" t="n"/>
      <c r="U41" s="1" t="n"/>
    </row>
    <row r="42">
      <c r="B42" s="1" t="n"/>
      <c r="C42" s="1" t="n"/>
      <c r="D42" s="1" t="n"/>
      <c r="E42" s="17" t="n"/>
      <c r="F42" s="17" t="n"/>
      <c r="G42" s="17" t="n"/>
      <c r="H42" s="17" t="n"/>
      <c r="I42" s="17" t="n"/>
      <c r="J42" s="17" t="n"/>
      <c r="K42" s="17" t="n"/>
      <c r="L42" s="17" t="n"/>
      <c r="M42" s="17" t="n"/>
      <c r="N42" s="17" t="n"/>
      <c r="O42" s="17" t="n"/>
      <c r="P42" s="17" t="n"/>
      <c r="Q42" s="1" t="n"/>
      <c r="R42" s="1" t="n"/>
      <c r="S42" s="1" t="n"/>
      <c r="T42" s="1" t="n"/>
      <c r="U42" s="1" t="n"/>
    </row>
    <row r="43">
      <c r="B43" s="1" t="n"/>
      <c r="C43" s="1" t="n"/>
      <c r="D43" s="1" t="n"/>
      <c r="E43" s="17" t="n"/>
      <c r="F43" s="17" t="n"/>
      <c r="G43" s="17" t="n"/>
      <c r="H43" s="17" t="n"/>
      <c r="I43" s="17" t="n"/>
      <c r="J43" s="17" t="n"/>
      <c r="K43" s="17" t="n"/>
      <c r="L43" s="17" t="n"/>
      <c r="M43" s="17" t="n"/>
      <c r="N43" s="17" t="n"/>
      <c r="O43" s="17" t="n"/>
      <c r="P43" s="17" t="n"/>
      <c r="Q43" s="1" t="n"/>
      <c r="R43" s="1" t="n"/>
      <c r="S43" s="1" t="n"/>
      <c r="T43" s="1" t="n"/>
      <c r="U43" s="1" t="n"/>
    </row>
    <row r="44">
      <c r="B44" s="1" t="n"/>
      <c r="C44" s="1" t="n"/>
      <c r="D44" s="1" t="n"/>
      <c r="E44" s="17" t="n"/>
      <c r="F44" s="17" t="n"/>
      <c r="G44" s="17" t="n"/>
      <c r="H44" s="17" t="n"/>
      <c r="I44" s="17" t="n"/>
      <c r="J44" s="17" t="n"/>
      <c r="K44" s="17" t="n"/>
      <c r="L44" s="17" t="n"/>
      <c r="M44" s="17" t="n"/>
      <c r="N44" s="17" t="n"/>
      <c r="O44" s="17" t="n"/>
      <c r="P44" s="17" t="n"/>
      <c r="Q44" s="1" t="n"/>
      <c r="R44" s="1" t="n"/>
      <c r="S44" s="1" t="n"/>
      <c r="T44" s="1" t="n"/>
      <c r="U44" s="1" t="n"/>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3.xml><?xml version="1.0" encoding="utf-8"?>
<worksheet xmlns="http://schemas.openxmlformats.org/spreadsheetml/2006/main">
  <sheetPr>
    <tabColor rgb="FF0000FF"/>
    <outlinePr summaryBelow="1" summaryRight="1"/>
    <pageSetUpPr/>
  </sheetPr>
  <dimension ref="A1:AB200"/>
  <sheetViews>
    <sheetView topLeftCell="W1" zoomScale="98" workbookViewId="0">
      <selection activeCell="AA13" sqref="AA1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Chronology Info</t>
        </is>
      </c>
      <c r="AA1" s="8" t="inlineStr">
        <is>
          <t>Method</t>
        </is>
      </c>
      <c r="AB1" s="8" t="inlineStr">
        <is>
          <t>Elevation (m)</t>
        </is>
      </c>
    </row>
    <row r="2" ht="17" customHeight="1" s="29">
      <c r="A2" s="9" t="inlineStr">
        <is>
          <t>ODP1148</t>
        </is>
      </c>
      <c r="B2" s="12" t="n">
        <v>116.566</v>
      </c>
      <c r="C2" s="12" t="n">
        <v>18.836</v>
      </c>
      <c r="D2" s="10" t="inlineStr">
        <is>
          <t>UK37</t>
        </is>
      </c>
      <c r="E2" s="6" t="n"/>
      <c r="F2" s="6" t="n"/>
      <c r="G2" s="6" t="n"/>
      <c r="M2" s="14" t="n"/>
      <c r="N2" s="11" t="n">
        <v>1499</v>
      </c>
      <c r="O2" s="11" t="inlineStr">
        <is>
          <t xml:space="preserve">0.924 </t>
        </is>
      </c>
      <c r="P2" s="6" t="inlineStr">
        <is>
          <t xml:space="preserve">26.7 </t>
        </is>
      </c>
      <c r="R2" s="19" t="n">
        <v>115040</v>
      </c>
      <c r="T2" s="6" t="inlineStr">
        <is>
          <t xml:space="preserve">26.7 </t>
        </is>
      </c>
      <c r="V2" s="6" t="inlineStr">
        <is>
          <t>Li, D., M. Zhao, and J. Tian. 2017. Low-high latitude interaction forcing on the evolution of the 400 kyr cycle in East Asian winter monsoon records during the last 2.8 Myr. Quaternary Science Reviews, 172, 72-82. doi: 10.1016/j.quascirev.2017.08.005</t>
        </is>
      </c>
      <c r="W2" s="13" t="inlineStr">
        <is>
          <t>https://www.ncei.noaa.gov/pub/data/paleo/contributions_by_author/li2017/li2017.txt</t>
        </is>
      </c>
      <c r="Y2" s="6" t="inlineStr">
        <is>
          <t>UK37 calculated after Prahl and Wakeham (1987), UK37 SST reconstruction calculated after Mueller et al.(1998)</t>
        </is>
      </c>
      <c r="AB2" t="n">
        <v>-3296</v>
      </c>
    </row>
    <row r="3" ht="17" customHeight="1" s="29">
      <c r="E3" s="6" t="n"/>
      <c r="F3" s="6" t="n"/>
      <c r="G3" s="6" t="n"/>
      <c r="M3" s="14" t="n"/>
      <c r="N3" s="11" t="n">
        <v>1551</v>
      </c>
      <c r="O3" s="11" t="inlineStr">
        <is>
          <t xml:space="preserve">0.970 </t>
        </is>
      </c>
      <c r="P3" s="6" t="inlineStr">
        <is>
          <t xml:space="preserve">28.1 </t>
        </is>
      </c>
      <c r="R3" s="15" t="n">
        <v>119200</v>
      </c>
      <c r="T3" s="6" t="inlineStr">
        <is>
          <t xml:space="preserve">28.1 </t>
        </is>
      </c>
    </row>
    <row r="4" ht="17" customHeight="1" s="29">
      <c r="E4" s="6" t="n"/>
      <c r="F4" s="6" t="n"/>
      <c r="G4" s="6" t="n"/>
      <c r="M4" s="14" t="n"/>
      <c r="N4" s="11" t="n">
        <v>1601</v>
      </c>
      <c r="O4" s="11" t="inlineStr">
        <is>
          <t xml:space="preserve">0.955 </t>
        </is>
      </c>
      <c r="P4" s="6" t="inlineStr">
        <is>
          <t xml:space="preserve">27.6 </t>
        </is>
      </c>
      <c r="R4" s="15" t="n">
        <v>123200</v>
      </c>
      <c r="T4" s="6" t="inlineStr">
        <is>
          <t xml:space="preserve">27.6 </t>
        </is>
      </c>
    </row>
    <row r="5" ht="17" customHeight="1" s="29">
      <c r="E5" s="6" t="n"/>
      <c r="F5" s="6" t="n"/>
      <c r="G5" s="6" t="n"/>
      <c r="M5" s="14" t="n"/>
      <c r="N5" s="11" t="n">
        <v>1651</v>
      </c>
      <c r="O5" s="11" t="inlineStr">
        <is>
          <t xml:space="preserve">0.874 </t>
        </is>
      </c>
      <c r="P5" s="6" t="inlineStr">
        <is>
          <t xml:space="preserve">25.2 </t>
        </is>
      </c>
      <c r="R5" s="15" t="n">
        <v>128465</v>
      </c>
      <c r="T5" s="6" t="inlineStr">
        <is>
          <t xml:space="preserve">25.2 </t>
        </is>
      </c>
    </row>
    <row r="6" ht="17" customHeight="1" s="29">
      <c r="M6" s="14" t="n"/>
      <c r="N6" s="11" t="n">
        <v>1701</v>
      </c>
      <c r="O6" s="11" t="inlineStr">
        <is>
          <t xml:space="preserve">0.824 </t>
        </is>
      </c>
      <c r="P6" s="6" t="inlineStr">
        <is>
          <t xml:space="preserve">23.6 </t>
        </is>
      </c>
      <c r="R6" s="15" t="n">
        <v>134047</v>
      </c>
      <c r="T6" s="6" t="inlineStr">
        <is>
          <t xml:space="preserve">23.6 </t>
        </is>
      </c>
    </row>
    <row r="7" ht="17" customHeight="1" s="29">
      <c r="M7" s="14" t="n"/>
      <c r="N7" s="11" t="n">
        <v>1751</v>
      </c>
      <c r="O7" s="11" t="inlineStr">
        <is>
          <t xml:space="preserve">0.842 </t>
        </is>
      </c>
      <c r="P7" s="6" t="inlineStr">
        <is>
          <t xml:space="preserve">24.2 </t>
        </is>
      </c>
      <c r="R7" s="15" t="n">
        <v>139628</v>
      </c>
      <c r="T7" s="6" t="inlineStr">
        <is>
          <t xml:space="preserve">24.2 </t>
        </is>
      </c>
    </row>
    <row r="9">
      <c r="O9" s="6" t="n"/>
      <c r="P9" s="6" t="n"/>
    </row>
    <row r="10">
      <c r="O10" s="6" t="n"/>
      <c r="P10" s="6" t="n"/>
    </row>
    <row r="11">
      <c r="O11" s="6" t="n"/>
      <c r="P11" s="6" t="n"/>
    </row>
    <row r="12">
      <c r="O12" s="6" t="n"/>
      <c r="P12" s="6" t="n"/>
    </row>
    <row r="13">
      <c r="O13" s="6" t="n"/>
      <c r="P13" s="6" t="n"/>
    </row>
    <row r="14">
      <c r="O14" s="6" t="n"/>
      <c r="P14" s="6" t="n"/>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4.xml><?xml version="1.0" encoding="utf-8"?>
<worksheet xmlns="http://schemas.openxmlformats.org/spreadsheetml/2006/main">
  <sheetPr>
    <tabColor rgb="FF0000FF"/>
    <outlinePr summaryBelow="1" summaryRight="1"/>
    <pageSetUpPr/>
  </sheetPr>
  <dimension ref="A1:Z200"/>
  <sheetViews>
    <sheetView zoomScale="75" workbookViewId="0">
      <selection activeCell="Z1" sqref="V1:Z1"/>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ht="17" customHeight="1" s="29">
      <c r="A2" s="9" t="inlineStr">
        <is>
          <t>IODP-U1446</t>
        </is>
      </c>
      <c r="B2" s="12" t="n">
        <v>85.733</v>
      </c>
      <c r="C2" s="12" t="n">
        <v>19.083</v>
      </c>
      <c r="D2" s="10" t="inlineStr">
        <is>
          <t>MgCa</t>
        </is>
      </c>
      <c r="E2" s="6" t="n"/>
      <c r="F2" s="6" t="n"/>
      <c r="G2" s="6" t="n"/>
      <c r="M2" s="14" t="n"/>
      <c r="N2" t="n">
        <v>29.032</v>
      </c>
      <c r="O2" t="n">
        <v>4.75</v>
      </c>
      <c r="P2" t="n">
        <v>28.23</v>
      </c>
      <c r="R2" s="20" t="n">
        <v>116140</v>
      </c>
      <c r="T2" t="n">
        <v>28.23</v>
      </c>
      <c r="V2" s="6" t="inlineStr">
        <is>
          <t>Clemens, Steven; Yamamoto, Masanobu; Thirumalai, Kaustubh; Giosan, Liviu; Richey, Julie N.; Nilsson-Kerr, Katrina; Rosenthal, Yair; Anand, Pallavi; McGrath, Sarah M. 2021. Remote and Local Drivers of Pleistocene South Asian Summer Monsoon Precipitation: A Test for Future Predictions. Science Advances, 7(23), eabg3848. doi: 10.1126/sciadv.abg3848</t>
        </is>
      </c>
      <c r="W2" s="13" t="inlineStr">
        <is>
          <t>https://www.ncei.noaa.gov/pub/data/paleo/contributions_by_author/clemens2021/clemens2021-u1446-mgca-noaa.txt</t>
        </is>
      </c>
      <c r="Y2" s="6" t="inlineStr">
        <is>
          <t>Analytical facility: Kerr (Open Univ.)</t>
        </is>
      </c>
      <c r="Z2" t="n">
        <v>-1440</v>
      </c>
    </row>
    <row r="3" ht="17" customHeight="1" s="29">
      <c r="E3" s="6" t="n"/>
      <c r="F3" s="6" t="n"/>
      <c r="G3" s="6" t="n"/>
      <c r="M3" s="14" t="n"/>
      <c r="N3" t="n">
        <v>29.332</v>
      </c>
      <c r="O3" t="n">
        <v>4.58</v>
      </c>
      <c r="P3" t="n">
        <v>28.3</v>
      </c>
      <c r="R3" s="20" t="n">
        <v>117310</v>
      </c>
      <c r="T3" t="n">
        <v>28.3</v>
      </c>
    </row>
    <row r="4" ht="17" customHeight="1" s="29">
      <c r="E4" s="6" t="n"/>
      <c r="F4" s="6" t="n"/>
      <c r="G4" s="6" t="n"/>
      <c r="M4" s="14" t="n"/>
      <c r="N4" t="n">
        <v>29.632</v>
      </c>
      <c r="O4" t="n">
        <v>4.55</v>
      </c>
      <c r="P4" t="n">
        <v>28.56</v>
      </c>
      <c r="R4" s="20" t="n">
        <v>118480</v>
      </c>
      <c r="T4" t="n">
        <v>28.56</v>
      </c>
    </row>
    <row r="5" ht="17" customHeight="1" s="29">
      <c r="E5" s="6" t="n"/>
      <c r="F5" s="6" t="n"/>
      <c r="G5" s="6" t="n"/>
      <c r="M5" s="14" t="n"/>
      <c r="N5" t="n">
        <v>29.932</v>
      </c>
      <c r="O5" t="n">
        <v>4.61</v>
      </c>
      <c r="P5" t="n">
        <v>28.9</v>
      </c>
      <c r="R5" s="20" t="n">
        <v>119650</v>
      </c>
      <c r="T5" t="n">
        <v>28.9</v>
      </c>
    </row>
    <row r="6" ht="17" customHeight="1" s="29">
      <c r="M6" s="14" t="n"/>
      <c r="N6" t="n">
        <v>30.202</v>
      </c>
      <c r="O6" t="n">
        <v>4.68</v>
      </c>
      <c r="P6" t="n">
        <v>29.08</v>
      </c>
      <c r="R6" s="20" t="n">
        <v>120700</v>
      </c>
      <c r="T6" t="n">
        <v>29.08</v>
      </c>
    </row>
    <row r="7" ht="17" customHeight="1" s="29">
      <c r="M7" s="14" t="n"/>
      <c r="N7" t="n">
        <v>30.552</v>
      </c>
      <c r="O7" t="n">
        <v>4.73</v>
      </c>
      <c r="P7" t="n">
        <v>28.74</v>
      </c>
      <c r="R7" s="20" t="n">
        <v>122060</v>
      </c>
      <c r="T7" t="n">
        <v>28.74</v>
      </c>
    </row>
    <row r="8">
      <c r="N8" t="n">
        <v>30.852</v>
      </c>
      <c r="O8" t="n">
        <v>4.45</v>
      </c>
      <c r="P8" t="n">
        <v>28.89</v>
      </c>
      <c r="R8" s="20" t="n">
        <v>123230</v>
      </c>
      <c r="T8" t="n">
        <v>28.89</v>
      </c>
    </row>
    <row r="9">
      <c r="N9" t="n">
        <v>31.152</v>
      </c>
      <c r="O9" t="n">
        <v>4.55</v>
      </c>
      <c r="P9" t="n">
        <v>26.75</v>
      </c>
      <c r="R9" s="20" t="n">
        <v>124390</v>
      </c>
      <c r="T9" t="n">
        <v>26.75</v>
      </c>
    </row>
    <row r="10">
      <c r="N10" t="n">
        <v>32.327</v>
      </c>
      <c r="O10" t="n">
        <v>4.47</v>
      </c>
      <c r="P10" t="n">
        <v>26.34</v>
      </c>
      <c r="R10" s="20" t="n">
        <v>128970</v>
      </c>
      <c r="T10" t="n">
        <v>26.34</v>
      </c>
    </row>
    <row r="11">
      <c r="N11" t="n">
        <v>32.627</v>
      </c>
      <c r="O11" t="n">
        <v>4.22</v>
      </c>
      <c r="P11" t="n">
        <v>26.29</v>
      </c>
      <c r="R11" s="20" t="n">
        <v>131720</v>
      </c>
      <c r="T11" t="n">
        <v>26.29</v>
      </c>
    </row>
    <row r="12">
      <c r="N12" t="n">
        <v>32.927</v>
      </c>
      <c r="O12" t="n">
        <v>4.04</v>
      </c>
      <c r="P12" t="n">
        <v>25.99</v>
      </c>
      <c r="R12" s="20" t="n">
        <v>134460</v>
      </c>
      <c r="T12" t="n">
        <v>25.99</v>
      </c>
    </row>
    <row r="13">
      <c r="N13" t="n">
        <v>33.237</v>
      </c>
      <c r="O13" t="n">
        <v>4.04</v>
      </c>
      <c r="P13" t="n">
        <v>26.05</v>
      </c>
      <c r="R13" s="20" t="n">
        <v>137300</v>
      </c>
      <c r="T13" t="n">
        <v>26.05</v>
      </c>
    </row>
    <row r="14">
      <c r="N14" t="n">
        <v>33.537</v>
      </c>
      <c r="O14" t="n">
        <v>3.83</v>
      </c>
      <c r="P14" t="n">
        <v>26.08</v>
      </c>
      <c r="R14" s="20" t="n">
        <v>140050</v>
      </c>
      <c r="T14" t="n">
        <v>26.08</v>
      </c>
    </row>
    <row r="15">
      <c r="R15" s="20" t="n"/>
    </row>
    <row r="16">
      <c r="R16" s="20" t="n"/>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sheetPr>
    <tabColor rgb="FF0000FF"/>
    <outlinePr summaryBelow="1" summaryRight="1"/>
    <pageSetUpPr/>
  </sheetPr>
  <dimension ref="A1:Z200"/>
  <sheetViews>
    <sheetView zoomScale="75" workbookViewId="0">
      <selection activeCell="O16" sqref="O16"/>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KNR191_CDH19</t>
        </is>
      </c>
      <c r="B2" s="12" t="n">
        <v>-57.57598</v>
      </c>
      <c r="C2" s="12" t="n">
        <v>33.6907</v>
      </c>
      <c r="D2" s="10" t="inlineStr">
        <is>
          <t>UK37</t>
        </is>
      </c>
      <c r="E2" s="6" t="n"/>
      <c r="F2" s="6" t="n"/>
      <c r="G2" s="6" t="n"/>
      <c r="L2" s="21" t="n">
        <v>3292</v>
      </c>
      <c r="M2" t="n">
        <v>3.14</v>
      </c>
      <c r="R2" t="n">
        <v>115060</v>
      </c>
      <c r="T2" t="n">
        <v>21.05</v>
      </c>
      <c r="V2" s="6" t="inlineStr">
        <is>
          <t>L.G. Henry, J.F. McManus, W.B. Curry, N.L. Roberts, A.M. Piotrowski, L.D. Keigwin. 2016. North Atlantic ocean circulation and abrupt climate change during the last glaciation. Science, 353(6298), 470-474. doi: 10.1126/science.aaf5529</t>
        </is>
      </c>
      <c r="W2" s="13" t="inlineStr">
        <is>
          <t>https://www.ncei.noaa.gov/pub/data/paleo/contributions_by_author/henry2016/henry2016sst.txt</t>
        </is>
      </c>
      <c r="X2" s="6" t="inlineStr">
        <is>
          <t>Age model was generated by correlating XRF Ca counts in CDH19 to carbonate measurements made in core MD95-2036.</t>
        </is>
      </c>
      <c r="Z2" t="n">
        <v>-4541</v>
      </c>
    </row>
    <row r="3">
      <c r="E3" s="6" t="n"/>
      <c r="F3" s="6" t="n"/>
      <c r="G3" s="6" t="n"/>
      <c r="L3" s="21" t="n">
        <v>3296</v>
      </c>
      <c r="M3" t="n">
        <v>3.04</v>
      </c>
      <c r="R3" t="n">
        <v>115150</v>
      </c>
      <c r="T3" t="n">
        <v>20.62</v>
      </c>
    </row>
    <row r="4">
      <c r="E4" s="6" t="n"/>
      <c r="F4" s="6" t="n"/>
      <c r="G4" s="6" t="n"/>
      <c r="L4" s="21" t="n">
        <v>3324</v>
      </c>
      <c r="M4" t="n">
        <v>2.97</v>
      </c>
      <c r="R4" t="n">
        <v>115230</v>
      </c>
      <c r="T4" t="n">
        <v>20.58</v>
      </c>
    </row>
    <row r="5">
      <c r="E5" s="6" t="n"/>
      <c r="F5" s="6" t="n"/>
      <c r="G5" s="6" t="n"/>
      <c r="L5" s="21" t="n">
        <v>3328</v>
      </c>
      <c r="M5" t="n">
        <v>2.61</v>
      </c>
      <c r="R5" t="n">
        <v>115310</v>
      </c>
      <c r="T5" t="n">
        <v>21.07</v>
      </c>
    </row>
    <row r="6">
      <c r="L6" s="21" t="n">
        <v>3332</v>
      </c>
      <c r="M6" t="n">
        <v>2.64</v>
      </c>
      <c r="R6" t="n">
        <v>115390</v>
      </c>
      <c r="T6" t="n">
        <v>20.72</v>
      </c>
    </row>
    <row r="7">
      <c r="L7" s="21" t="n">
        <v>3336</v>
      </c>
      <c r="M7" t="n">
        <v>2.51</v>
      </c>
      <c r="R7" t="n">
        <v>115460</v>
      </c>
      <c r="T7" t="n">
        <v>21.36</v>
      </c>
    </row>
    <row r="8">
      <c r="L8" s="21" t="n">
        <v>3340</v>
      </c>
      <c r="M8" t="n">
        <v>2.52</v>
      </c>
      <c r="R8" t="n">
        <v>115530</v>
      </c>
      <c r="T8" t="n">
        <v>21.16</v>
      </c>
    </row>
    <row r="9">
      <c r="L9" s="21" t="n">
        <v>3344</v>
      </c>
      <c r="M9" t="n">
        <v>2.49</v>
      </c>
      <c r="R9" t="n">
        <v>115600</v>
      </c>
      <c r="T9" t="n">
        <v>20.35</v>
      </c>
    </row>
    <row r="10">
      <c r="L10" s="21" t="n">
        <v>3348</v>
      </c>
      <c r="M10" t="n">
        <v>2.41</v>
      </c>
      <c r="R10" t="n">
        <v>115670</v>
      </c>
      <c r="T10" t="n">
        <v>19.76</v>
      </c>
    </row>
    <row r="11">
      <c r="L11" s="21" t="n">
        <v>3352</v>
      </c>
      <c r="M11" t="n">
        <v>2.43</v>
      </c>
      <c r="R11" t="n">
        <v>115720</v>
      </c>
      <c r="T11" t="n">
        <v>19.98</v>
      </c>
    </row>
    <row r="12">
      <c r="L12" s="21" t="n">
        <v>3356</v>
      </c>
      <c r="M12" t="n">
        <v>2.38</v>
      </c>
      <c r="R12" t="n">
        <v>115770</v>
      </c>
      <c r="T12" t="n">
        <v>19.64</v>
      </c>
    </row>
    <row r="13">
      <c r="L13" s="21" t="n">
        <v>3360</v>
      </c>
      <c r="M13" t="n">
        <v>2.4</v>
      </c>
      <c r="R13" t="n">
        <v>115810</v>
      </c>
      <c r="T13" t="n">
        <v>20.46</v>
      </c>
    </row>
    <row r="14">
      <c r="L14" s="21" t="n">
        <v>3364</v>
      </c>
      <c r="M14" t="n">
        <v>2.35</v>
      </c>
      <c r="R14" t="n">
        <v>115860</v>
      </c>
      <c r="T14" t="n">
        <v>20.36</v>
      </c>
    </row>
    <row r="15">
      <c r="L15" s="21" t="n">
        <v>3368</v>
      </c>
      <c r="M15" t="n">
        <v>2.73</v>
      </c>
      <c r="R15" t="n">
        <v>115930</v>
      </c>
      <c r="T15" t="n">
        <v>20.99</v>
      </c>
    </row>
    <row r="16">
      <c r="L16" s="21" t="n">
        <v>3372</v>
      </c>
      <c r="M16" t="n">
        <v>2.98</v>
      </c>
      <c r="R16" t="n">
        <v>116020</v>
      </c>
      <c r="T16" t="n">
        <v>19.81</v>
      </c>
    </row>
    <row r="17">
      <c r="L17" s="21" t="n">
        <v>3380</v>
      </c>
      <c r="M17" t="n">
        <v>3.02</v>
      </c>
      <c r="R17" t="n">
        <v>116080</v>
      </c>
      <c r="T17" t="n">
        <v>19.66</v>
      </c>
    </row>
    <row r="18">
      <c r="L18" s="21" t="n">
        <v>3384</v>
      </c>
      <c r="M18" t="n">
        <v>3.79</v>
      </c>
      <c r="R18" t="n">
        <v>116110</v>
      </c>
      <c r="T18" t="n">
        <v>19.53</v>
      </c>
    </row>
    <row r="19">
      <c r="L19" s="21" t="n">
        <v>3408</v>
      </c>
      <c r="M19" t="n">
        <v>3.53</v>
      </c>
      <c r="R19" t="n">
        <v>116230</v>
      </c>
      <c r="T19" t="n">
        <v>22.68</v>
      </c>
    </row>
    <row r="20">
      <c r="L20" s="21" t="n">
        <v>3424</v>
      </c>
      <c r="M20" t="n">
        <v>4.28</v>
      </c>
      <c r="R20" t="n">
        <v>116420</v>
      </c>
      <c r="T20" t="n">
        <v>22.58</v>
      </c>
    </row>
    <row r="21">
      <c r="L21" s="21" t="n">
        <v>3428</v>
      </c>
      <c r="M21" t="n">
        <v>3.85</v>
      </c>
      <c r="R21" t="n">
        <v>116620</v>
      </c>
      <c r="T21" t="n">
        <v>21.78</v>
      </c>
    </row>
    <row r="22">
      <c r="L22" s="21" t="n">
        <v>3432</v>
      </c>
      <c r="M22" t="n">
        <v>4.58</v>
      </c>
      <c r="R22" t="n">
        <v>116820</v>
      </c>
      <c r="T22" t="n">
        <v>22.98</v>
      </c>
    </row>
    <row r="23">
      <c r="L23" s="21" t="n">
        <v>3476</v>
      </c>
      <c r="M23" t="n">
        <v>4.06</v>
      </c>
      <c r="R23" t="n">
        <v>117020</v>
      </c>
      <c r="T23" t="n">
        <v>22.53</v>
      </c>
    </row>
    <row r="24">
      <c r="L24" s="21" t="n">
        <v>3480</v>
      </c>
      <c r="M24" t="n">
        <v>3.18</v>
      </c>
      <c r="R24" t="n">
        <v>117220</v>
      </c>
      <c r="T24" t="n">
        <v>22.2</v>
      </c>
    </row>
    <row r="25">
      <c r="L25" s="21" t="n">
        <v>3488</v>
      </c>
      <c r="M25" t="n">
        <v>3.31</v>
      </c>
      <c r="R25" t="n">
        <v>117460</v>
      </c>
      <c r="T25" t="n">
        <v>22.52</v>
      </c>
    </row>
    <row r="26">
      <c r="L26" s="21" t="n">
        <v>3492</v>
      </c>
      <c r="M26" t="n">
        <v>4.21</v>
      </c>
      <c r="R26" t="n">
        <v>117740</v>
      </c>
      <c r="T26" t="n">
        <v>22.48</v>
      </c>
    </row>
    <row r="27">
      <c r="L27" s="21" t="n">
        <v>3496</v>
      </c>
      <c r="M27" t="n">
        <v>3.29</v>
      </c>
      <c r="R27" t="n">
        <v>118030</v>
      </c>
      <c r="T27" t="n">
        <v>22.86</v>
      </c>
    </row>
    <row r="28">
      <c r="L28" s="21" t="n">
        <v>3508</v>
      </c>
      <c r="M28" t="n">
        <v>3.29</v>
      </c>
      <c r="R28" t="n">
        <v>118350</v>
      </c>
      <c r="T28" t="n">
        <v>22.47</v>
      </c>
    </row>
    <row r="29">
      <c r="L29" s="21" t="n">
        <v>3512</v>
      </c>
      <c r="M29" t="n">
        <v>2.47</v>
      </c>
      <c r="R29" t="n">
        <v>118650</v>
      </c>
      <c r="T29" t="n">
        <v>22.57</v>
      </c>
    </row>
    <row r="30">
      <c r="L30" s="21" t="n">
        <v>3540</v>
      </c>
      <c r="M30" t="n">
        <v>4.28</v>
      </c>
      <c r="R30" t="n">
        <v>118940</v>
      </c>
      <c r="T30" t="n">
        <v>22.56</v>
      </c>
    </row>
    <row r="31">
      <c r="L31" s="21" t="n"/>
      <c r="R31" t="n">
        <v>119230</v>
      </c>
      <c r="T31" t="n">
        <v>22.7</v>
      </c>
    </row>
    <row r="32">
      <c r="R32" t="n">
        <v>119540</v>
      </c>
      <c r="T32" t="n">
        <v>22.43</v>
      </c>
    </row>
    <row r="33">
      <c r="R33" t="n">
        <v>119880</v>
      </c>
      <c r="T33" t="n">
        <v>22.43</v>
      </c>
    </row>
    <row r="34">
      <c r="R34" t="n">
        <v>120250</v>
      </c>
      <c r="T34" t="n">
        <v>22.68</v>
      </c>
    </row>
    <row r="35">
      <c r="R35" t="n">
        <v>120620</v>
      </c>
      <c r="T35" t="n">
        <v>22.47</v>
      </c>
    </row>
    <row r="36">
      <c r="R36" t="n">
        <v>120970</v>
      </c>
      <c r="T36" t="n">
        <v>22.55</v>
      </c>
    </row>
    <row r="37">
      <c r="R37" t="n">
        <v>121370</v>
      </c>
      <c r="T37" t="n">
        <v>22.51</v>
      </c>
    </row>
    <row r="38">
      <c r="R38" t="n">
        <v>121810</v>
      </c>
      <c r="T38" t="n">
        <v>22.5</v>
      </c>
    </row>
    <row r="39">
      <c r="R39" t="n">
        <v>122240</v>
      </c>
      <c r="T39" t="n">
        <v>22.77</v>
      </c>
    </row>
    <row r="40">
      <c r="R40" t="n">
        <v>122670</v>
      </c>
      <c r="T40" t="n">
        <v>22.66</v>
      </c>
    </row>
    <row r="41">
      <c r="R41" t="n">
        <v>123080</v>
      </c>
      <c r="T41" t="n">
        <v>23.09</v>
      </c>
    </row>
    <row r="42">
      <c r="R42" t="n">
        <v>123490</v>
      </c>
      <c r="T42" t="n">
        <v>22.32</v>
      </c>
    </row>
    <row r="43">
      <c r="R43" t="n">
        <v>123880</v>
      </c>
      <c r="T43" t="n">
        <v>22.56</v>
      </c>
    </row>
    <row r="44">
      <c r="R44" t="n">
        <v>124270</v>
      </c>
      <c r="T44" t="n">
        <v>22.88</v>
      </c>
    </row>
    <row r="45">
      <c r="R45" t="n">
        <v>124650</v>
      </c>
      <c r="T45" t="n">
        <v>22.64</v>
      </c>
    </row>
    <row r="46">
      <c r="R46" t="n">
        <v>125660</v>
      </c>
      <c r="T46" t="n">
        <v>22.16</v>
      </c>
    </row>
    <row r="47">
      <c r="R47" t="n">
        <v>125990</v>
      </c>
      <c r="T47" t="n">
        <v>22.01</v>
      </c>
    </row>
    <row r="48">
      <c r="R48" t="n">
        <v>126360</v>
      </c>
      <c r="T48" t="n">
        <v>21.82</v>
      </c>
    </row>
    <row r="49">
      <c r="R49" t="n">
        <v>126640</v>
      </c>
      <c r="T49" t="n">
        <v>21.16</v>
      </c>
    </row>
    <row r="50">
      <c r="R50" t="n">
        <v>126850</v>
      </c>
      <c r="T50" t="n">
        <v>21.82</v>
      </c>
    </row>
    <row r="51">
      <c r="R51" t="n">
        <v>127040</v>
      </c>
      <c r="T51" t="n">
        <v>21.6</v>
      </c>
    </row>
    <row r="52">
      <c r="R52" t="n">
        <v>127210</v>
      </c>
      <c r="T52" t="n">
        <v>21.61</v>
      </c>
    </row>
    <row r="53">
      <c r="R53" t="n">
        <v>127360</v>
      </c>
      <c r="T53" t="n">
        <v>21.69</v>
      </c>
    </row>
    <row r="54">
      <c r="R54" t="n">
        <v>127490</v>
      </c>
      <c r="T54" t="n">
        <v>21.56</v>
      </c>
    </row>
    <row r="55">
      <c r="R55" t="n">
        <v>127610</v>
      </c>
      <c r="T55" t="n">
        <v>21.75</v>
      </c>
    </row>
    <row r="56">
      <c r="R56" t="n">
        <v>127740</v>
      </c>
      <c r="T56" t="n">
        <v>21.42</v>
      </c>
    </row>
    <row r="57">
      <c r="R57" t="n">
        <v>127870</v>
      </c>
      <c r="T57" t="n">
        <v>20.52</v>
      </c>
    </row>
    <row r="58">
      <c r="R58" t="n">
        <v>128000</v>
      </c>
      <c r="T58" t="n">
        <v>20.68</v>
      </c>
    </row>
    <row r="59">
      <c r="R59" t="n">
        <v>128130</v>
      </c>
      <c r="T59" t="n">
        <v>20.15</v>
      </c>
    </row>
    <row r="60">
      <c r="R60" t="n">
        <v>128250</v>
      </c>
      <c r="T60" t="n">
        <v>20.36</v>
      </c>
    </row>
    <row r="61">
      <c r="R61" t="n">
        <v>128360</v>
      </c>
      <c r="T61" t="n">
        <v>20.11</v>
      </c>
    </row>
    <row r="62">
      <c r="R62" t="n">
        <v>128460</v>
      </c>
      <c r="T62" t="n">
        <v>20.28</v>
      </c>
    </row>
    <row r="63">
      <c r="R63" t="n">
        <v>128540</v>
      </c>
      <c r="T63" t="n">
        <v>19.61</v>
      </c>
    </row>
    <row r="64">
      <c r="R64" t="n">
        <v>128610</v>
      </c>
      <c r="T64" t="n">
        <v>19.32</v>
      </c>
    </row>
    <row r="65">
      <c r="R65" t="n">
        <v>128680</v>
      </c>
      <c r="T65" t="n">
        <v>20.07</v>
      </c>
    </row>
    <row r="66">
      <c r="R66" t="n">
        <v>128750</v>
      </c>
      <c r="T66" t="n">
        <v>19.28</v>
      </c>
    </row>
    <row r="67">
      <c r="R67" t="n">
        <v>128820</v>
      </c>
      <c r="T67" t="n">
        <v>19.54</v>
      </c>
    </row>
    <row r="68">
      <c r="R68" t="n">
        <v>128890</v>
      </c>
      <c r="T68" t="n">
        <v>19.28</v>
      </c>
    </row>
    <row r="69">
      <c r="R69" t="n">
        <v>128950</v>
      </c>
      <c r="T69" t="n">
        <v>19.25</v>
      </c>
    </row>
    <row r="70">
      <c r="R70" t="n">
        <v>129010</v>
      </c>
      <c r="T70" t="n">
        <v>19.2</v>
      </c>
    </row>
    <row r="71">
      <c r="R71" t="n">
        <v>129070</v>
      </c>
      <c r="T71" t="n">
        <v>19.88</v>
      </c>
    </row>
    <row r="72">
      <c r="R72" t="n">
        <v>129120</v>
      </c>
      <c r="T72" t="n">
        <v>19.41</v>
      </c>
    </row>
    <row r="73">
      <c r="R73" t="n">
        <v>129170</v>
      </c>
      <c r="T73" t="n">
        <v>18.58</v>
      </c>
    </row>
    <row r="74">
      <c r="R74" t="n">
        <v>129220</v>
      </c>
      <c r="T74" t="n">
        <v>18.47</v>
      </c>
    </row>
    <row r="75">
      <c r="R75" t="n">
        <v>129260</v>
      </c>
      <c r="T75" t="n">
        <v>18.01</v>
      </c>
    </row>
    <row r="76">
      <c r="R76" t="n">
        <v>129310</v>
      </c>
      <c r="T76" t="n">
        <v>17.68</v>
      </c>
    </row>
    <row r="77">
      <c r="R77" t="n">
        <v>129360</v>
      </c>
      <c r="T77" t="n">
        <v>17.11</v>
      </c>
    </row>
    <row r="78">
      <c r="R78" t="n">
        <v>129410</v>
      </c>
      <c r="T78" t="n">
        <v>17.42</v>
      </c>
    </row>
    <row r="79">
      <c r="R79" t="n">
        <v>129460</v>
      </c>
      <c r="T79" t="n">
        <v>17.57</v>
      </c>
    </row>
    <row r="80">
      <c r="R80" t="n">
        <v>129490</v>
      </c>
      <c r="T80" t="n">
        <v>17.52</v>
      </c>
    </row>
    <row r="81">
      <c r="R81" t="n">
        <v>129520</v>
      </c>
      <c r="T81" t="n">
        <v>16.95</v>
      </c>
    </row>
    <row r="82">
      <c r="R82" t="n">
        <v>129550</v>
      </c>
      <c r="T82" t="n">
        <v>16.92</v>
      </c>
    </row>
    <row r="83">
      <c r="R83" t="n">
        <v>129580</v>
      </c>
      <c r="T83" t="n">
        <v>16.6</v>
      </c>
    </row>
    <row r="84">
      <c r="R84" t="n">
        <v>129640</v>
      </c>
      <c r="T84" t="n">
        <v>16.85</v>
      </c>
    </row>
    <row r="85">
      <c r="R85" t="n">
        <v>129700</v>
      </c>
      <c r="T85" t="n">
        <v>16.74</v>
      </c>
    </row>
    <row r="86">
      <c r="R86" t="n">
        <v>129750</v>
      </c>
      <c r="T86" t="n">
        <v>16.55</v>
      </c>
    </row>
    <row r="87">
      <c r="R87" t="n">
        <v>129800</v>
      </c>
      <c r="T87" t="n">
        <v>16.76</v>
      </c>
    </row>
    <row r="88">
      <c r="R88" t="n">
        <v>129860</v>
      </c>
      <c r="T88" t="n">
        <v>17.1</v>
      </c>
    </row>
    <row r="89">
      <c r="R89" t="n">
        <v>129920</v>
      </c>
      <c r="T89" t="n">
        <v>17.36</v>
      </c>
    </row>
    <row r="90">
      <c r="R90" t="n">
        <v>129980</v>
      </c>
      <c r="T90" t="n">
        <v>17.12</v>
      </c>
    </row>
    <row r="91">
      <c r="R91" t="n">
        <v>130040</v>
      </c>
      <c r="T91" t="n">
        <v>17.37</v>
      </c>
    </row>
    <row r="92">
      <c r="R92" t="n">
        <v>130100</v>
      </c>
      <c r="T92" t="n">
        <v>17.19</v>
      </c>
    </row>
    <row r="93">
      <c r="R93" t="n">
        <v>130160</v>
      </c>
      <c r="T93" t="n">
        <v>16.94</v>
      </c>
    </row>
    <row r="94">
      <c r="R94" t="n">
        <v>130220</v>
      </c>
      <c r="T94" t="n">
        <v>16.94</v>
      </c>
    </row>
    <row r="95">
      <c r="R95" t="n">
        <v>130280</v>
      </c>
      <c r="T95" t="n">
        <v>16.69</v>
      </c>
    </row>
    <row r="96">
      <c r="R96" t="n">
        <v>130340</v>
      </c>
      <c r="T96" t="n">
        <v>16.58</v>
      </c>
    </row>
    <row r="97">
      <c r="R97" t="n">
        <v>130400</v>
      </c>
      <c r="T97" t="n">
        <v>16.72</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sheetPr>
    <tabColor rgb="FF0000FF"/>
    <outlinePr summaryBelow="1" summaryRight="1"/>
    <pageSetUpPr/>
  </sheetPr>
  <dimension ref="A1:Z200"/>
  <sheetViews>
    <sheetView zoomScale="108" workbookViewId="0">
      <selection activeCell="L26" sqref="L26"/>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ODP1016C</t>
        </is>
      </c>
      <c r="B2" s="12" t="n">
        <v>-122.2833</v>
      </c>
      <c r="C2" s="12" t="n">
        <v>34.53333</v>
      </c>
      <c r="D2" s="10" t="inlineStr">
        <is>
          <t>UK37</t>
        </is>
      </c>
      <c r="E2" s="6" t="n"/>
      <c r="F2" s="6" t="n"/>
      <c r="G2" s="6" t="n"/>
      <c r="N2" t="n">
        <v>7.29</v>
      </c>
      <c r="O2" t="n">
        <v>0.469</v>
      </c>
      <c r="R2" t="n">
        <v>115382.3</v>
      </c>
      <c r="T2" t="n">
        <v>12.653</v>
      </c>
      <c r="V2" s="6" t="inlineStr">
        <is>
          <t>Yamamoto, M., M. Yamamuro, and Y. Tanaka. 2007. The California current system during the last 136,000 years: response of the North Pacific High to precessional forcing. Quaternary Science Reviews, 26(3-4), 405-414. doi: 10.1016/j.quascirev.2006.07.014</t>
        </is>
      </c>
      <c r="W2" s="13" t="inlineStr">
        <is>
          <t>https://www.ncei.noaa.gov/pub/data/paleo/paleocean/sediment_files/complete/odp1016c-tab.txt</t>
        </is>
      </c>
      <c r="Y2" s="6" t="inlineStr">
        <is>
          <t>uk37 proxy value reports Alkenone saturation index.  #   Alkenones and alkenoates were analyzed following the method of Yamamoto et al. (2000). UK'37 was calculated from the concentrations of di- and tri-unsaturated C37 alken-2-ones [C37MK] using the method of Prahl et al., (1988).</t>
        </is>
      </c>
      <c r="Z2" t="n">
        <v>-3834</v>
      </c>
    </row>
    <row r="3">
      <c r="E3" s="6" t="n"/>
      <c r="F3" s="6" t="n"/>
      <c r="G3" s="6" t="n"/>
      <c r="N3" t="n">
        <v>7.38</v>
      </c>
      <c r="O3" t="n">
        <v>0.49</v>
      </c>
      <c r="R3" t="n">
        <v>116697.6</v>
      </c>
      <c r="T3" t="n">
        <v>13.276</v>
      </c>
    </row>
    <row r="4">
      <c r="E4" s="6" t="n"/>
      <c r="F4" s="6" t="n"/>
      <c r="G4" s="6" t="n"/>
      <c r="N4" t="n">
        <v>7.47</v>
      </c>
      <c r="O4" t="n">
        <v>0.473</v>
      </c>
      <c r="R4" t="n">
        <v>118012.8</v>
      </c>
      <c r="T4" t="n">
        <v>12.751</v>
      </c>
    </row>
    <row r="5">
      <c r="E5" s="6" t="n"/>
      <c r="F5" s="6" t="n"/>
      <c r="G5" s="6" t="n"/>
      <c r="N5" t="n">
        <v>7.56</v>
      </c>
      <c r="O5" t="n">
        <v>0.519</v>
      </c>
      <c r="R5" t="n">
        <v>119328.1</v>
      </c>
      <c r="T5" t="n">
        <v>14.114</v>
      </c>
    </row>
    <row r="6">
      <c r="N6" t="n">
        <v>7.65</v>
      </c>
      <c r="O6" t="n">
        <v>0.5659999999999999</v>
      </c>
      <c r="R6" t="n">
        <v>120643.4</v>
      </c>
      <c r="T6" t="n">
        <v>15.496</v>
      </c>
    </row>
    <row r="7">
      <c r="N7" t="n">
        <v>7.74</v>
      </c>
      <c r="O7" t="n">
        <v>0.615</v>
      </c>
      <c r="R7" t="n">
        <v>121958.7</v>
      </c>
      <c r="T7" t="n">
        <v>16.943</v>
      </c>
    </row>
    <row r="8">
      <c r="N8" t="n">
        <v>7.83</v>
      </c>
      <c r="O8" t="n">
        <v>0.635</v>
      </c>
      <c r="R8" t="n">
        <v>123274</v>
      </c>
      <c r="T8" t="n">
        <v>17.537</v>
      </c>
    </row>
    <row r="9">
      <c r="N9" t="n">
        <v>7.92</v>
      </c>
      <c r="O9" t="n">
        <v>0.629</v>
      </c>
      <c r="R9" t="n">
        <v>123813.4</v>
      </c>
      <c r="T9" t="n">
        <v>17.34</v>
      </c>
    </row>
    <row r="10">
      <c r="N10" t="n">
        <v>8.01</v>
      </c>
      <c r="O10" t="n">
        <v>0.614</v>
      </c>
      <c r="R10" t="n">
        <v>124352.9</v>
      </c>
      <c r="T10" t="n">
        <v>16.919</v>
      </c>
    </row>
    <row r="11">
      <c r="N11" t="n">
        <v>8.1</v>
      </c>
      <c r="O11" t="n">
        <v>0.545</v>
      </c>
      <c r="R11" t="n">
        <v>124892.3</v>
      </c>
      <c r="T11" t="n">
        <v>14.893</v>
      </c>
    </row>
    <row r="12">
      <c r="N12" t="n">
        <v>8.19</v>
      </c>
      <c r="O12" t="n">
        <v>0.515</v>
      </c>
      <c r="R12" t="n">
        <v>125431.7</v>
      </c>
      <c r="T12" t="n">
        <v>14.013</v>
      </c>
    </row>
    <row r="13">
      <c r="N13" t="n">
        <v>8.279999999999999</v>
      </c>
      <c r="O13" t="n">
        <v>0.486</v>
      </c>
      <c r="R13" t="n">
        <v>125971.1</v>
      </c>
      <c r="T13" t="n">
        <v>13.139</v>
      </c>
    </row>
    <row r="14">
      <c r="N14" t="n">
        <v>8.369999999999999</v>
      </c>
      <c r="O14" t="n">
        <v>0.468</v>
      </c>
      <c r="R14" t="n">
        <v>126510.6</v>
      </c>
      <c r="T14" t="n">
        <v>12.632</v>
      </c>
    </row>
    <row r="15">
      <c r="N15" t="n">
        <v>8.460000000000001</v>
      </c>
      <c r="O15" t="n">
        <v>0.469</v>
      </c>
      <c r="R15" t="n">
        <v>127050</v>
      </c>
      <c r="T15" t="n">
        <v>12.662</v>
      </c>
    </row>
    <row r="16">
      <c r="N16" t="n">
        <v>8.550000000000001</v>
      </c>
      <c r="O16" t="n">
        <v>0.515</v>
      </c>
      <c r="R16" t="n">
        <v>128775.2</v>
      </c>
      <c r="T16" t="n">
        <v>13.998</v>
      </c>
    </row>
    <row r="17">
      <c r="N17" t="n">
        <v>8.640000000000001</v>
      </c>
      <c r="O17" t="n">
        <v>0.498</v>
      </c>
      <c r="R17" t="n">
        <v>130500.3</v>
      </c>
      <c r="T17" t="n">
        <v>13.505</v>
      </c>
    </row>
    <row r="18">
      <c r="N18" t="n">
        <v>8.73</v>
      </c>
      <c r="O18" t="n">
        <v>0.478</v>
      </c>
      <c r="R18" t="n">
        <v>132225.5</v>
      </c>
      <c r="T18" t="n">
        <v>12.925</v>
      </c>
    </row>
    <row r="19">
      <c r="N19" t="n">
        <v>8.82</v>
      </c>
      <c r="O19" t="n">
        <v>0.441</v>
      </c>
      <c r="R19" t="n">
        <v>133950.6</v>
      </c>
      <c r="T19" t="n">
        <v>11.813</v>
      </c>
    </row>
    <row r="20">
      <c r="N20" t="n">
        <v>8.91</v>
      </c>
      <c r="O20" t="n">
        <v>0.454</v>
      </c>
      <c r="R20" t="n">
        <v>134761.9</v>
      </c>
      <c r="T20" t="n">
        <v>12.196</v>
      </c>
    </row>
    <row r="21">
      <c r="N21" t="n">
        <v>9</v>
      </c>
      <c r="O21" t="n">
        <v>0.422</v>
      </c>
      <c r="R21" t="n">
        <v>135573.2</v>
      </c>
      <c r="T21" t="n">
        <v>11.263</v>
      </c>
    </row>
    <row r="22">
      <c r="N22" t="n">
        <v>9.1</v>
      </c>
      <c r="O22" t="n">
        <v>0.383</v>
      </c>
      <c r="R22" t="n">
        <v>136474.7</v>
      </c>
      <c r="T22" t="n">
        <v>10.114</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7.xml><?xml version="1.0" encoding="utf-8"?>
<worksheet xmlns="http://schemas.openxmlformats.org/spreadsheetml/2006/main">
  <sheetPr>
    <tabColor rgb="FF0000FF"/>
    <outlinePr summaryBelow="1" summaryRight="1"/>
    <pageSetUpPr/>
  </sheetPr>
  <dimension ref="A1:Z200"/>
  <sheetViews>
    <sheetView zoomScale="108" workbookViewId="0">
      <selection activeCell="Y2" sqref="Y2"/>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ODP1014A</t>
        </is>
      </c>
      <c r="B2" s="12" t="n">
        <v>-118.9</v>
      </c>
      <c r="C2" s="12" t="n">
        <v>-32.8</v>
      </c>
      <c r="D2" s="10" t="inlineStr">
        <is>
          <t>UK37</t>
        </is>
      </c>
      <c r="E2" s="6" t="n"/>
      <c r="F2" s="6" t="n"/>
      <c r="G2" s="6" t="n"/>
      <c r="N2" t="n">
        <v>13</v>
      </c>
      <c r="O2" t="n">
        <v>0.592</v>
      </c>
      <c r="R2" t="n">
        <v>116675</v>
      </c>
      <c r="T2" t="n">
        <v>16.253</v>
      </c>
      <c r="V2" s="6" t="inlineStr">
        <is>
          <t>Yamamoto, M., M. Yamamuro, and Y. Tanaka. 2007. The California current system during the last 136,000 years: response of the North Pacific High to precessional forcing. Quaternary Science Reviews, 26(3-4), 405-414. doi: 10.1016/j.quascirev.2006.07.014</t>
        </is>
      </c>
      <c r="W2" s="13" t="inlineStr">
        <is>
          <t>https://www.ncei.noaa.gov/pub/data/paleo/paleocean/sediment_files/complete/odp1014a-tab.txt</t>
        </is>
      </c>
      <c r="Y2" s="6" t="inlineStr">
        <is>
          <t>uk37 proxy value reports Alkenone saturation index.  #   Alkenones and alkenoates were analyzed following the method of Yamamoto et al. (2000). UK'37 was calculated from the concentrations of di- and tri-unsaturated C37 alken-2-ones [C37MK] using the method of Prahl et al., (1988).</t>
        </is>
      </c>
      <c r="Z2" t="n">
        <v>-1165</v>
      </c>
    </row>
    <row r="3">
      <c r="E3" s="6" t="n"/>
      <c r="F3" s="6" t="n"/>
      <c r="G3" s="6" t="n"/>
      <c r="N3" t="n">
        <v>13.2</v>
      </c>
      <c r="O3" t="n">
        <v>0.646</v>
      </c>
      <c r="R3" t="n">
        <v>119290.6</v>
      </c>
      <c r="T3" t="n">
        <v>17.865</v>
      </c>
    </row>
    <row r="4">
      <c r="E4" s="6" t="n"/>
      <c r="F4" s="6" t="n"/>
      <c r="G4" s="6" t="n"/>
      <c r="N4" t="n">
        <v>13.81</v>
      </c>
      <c r="O4" t="n">
        <v>0.596</v>
      </c>
      <c r="R4" t="n">
        <v>124094</v>
      </c>
      <c r="T4" t="n">
        <v>16.391</v>
      </c>
    </row>
    <row r="5">
      <c r="E5" s="6" t="n"/>
      <c r="F5" s="6" t="n"/>
      <c r="G5" s="6" t="n"/>
      <c r="N5" t="n">
        <v>13.4</v>
      </c>
      <c r="O5" t="n">
        <v>0.6850000000000001</v>
      </c>
      <c r="R5" t="n">
        <v>121906.1</v>
      </c>
      <c r="T5" t="n">
        <v>19.007</v>
      </c>
    </row>
    <row r="6">
      <c r="N6" t="n">
        <v>14.01</v>
      </c>
      <c r="O6" t="n">
        <v>0.578</v>
      </c>
      <c r="R6" t="n">
        <v>125007.3</v>
      </c>
      <c r="T6" t="n">
        <v>15.855</v>
      </c>
    </row>
    <row r="7">
      <c r="N7" t="n">
        <v>13.62</v>
      </c>
      <c r="O7" t="n">
        <v>0.673</v>
      </c>
      <c r="R7" t="n">
        <v>123274</v>
      </c>
      <c r="T7" t="n">
        <v>18.648</v>
      </c>
    </row>
    <row r="8">
      <c r="N8" t="n">
        <v>14.21</v>
      </c>
      <c r="O8" t="n">
        <v>0.6929999999999999</v>
      </c>
      <c r="R8" t="n">
        <v>127050</v>
      </c>
      <c r="T8" t="n">
        <v>19.236</v>
      </c>
    </row>
    <row r="9">
      <c r="N9" t="n">
        <v>13.78</v>
      </c>
      <c r="O9" t="n">
        <v>0.677</v>
      </c>
      <c r="R9" t="n">
        <v>123957</v>
      </c>
      <c r="T9" t="n">
        <v>18.767</v>
      </c>
    </row>
    <row r="10">
      <c r="N10" t="n">
        <v>14.41</v>
      </c>
      <c r="O10" t="n">
        <v>0.5649999999999999</v>
      </c>
      <c r="R10" t="n">
        <v>129375</v>
      </c>
      <c r="T10" t="n">
        <v>15.47</v>
      </c>
    </row>
    <row r="11">
      <c r="N11" t="n">
        <v>14.61</v>
      </c>
      <c r="O11" t="n">
        <v>0.58</v>
      </c>
      <c r="R11" t="n">
        <v>130705.4</v>
      </c>
      <c r="T11" t="n">
        <v>15.911</v>
      </c>
    </row>
    <row r="12">
      <c r="N12" t="n">
        <v>14.81</v>
      </c>
      <c r="O12" t="n">
        <v>0.571</v>
      </c>
      <c r="R12" t="n">
        <v>131787.1</v>
      </c>
      <c r="T12" t="n">
        <v>15.645</v>
      </c>
    </row>
    <row r="13">
      <c r="N13" t="n">
        <v>15.01</v>
      </c>
      <c r="O13" t="n">
        <v>0.58</v>
      </c>
      <c r="R13" t="n">
        <v>132868.9</v>
      </c>
      <c r="T13" t="n">
        <v>15.903</v>
      </c>
    </row>
    <row r="14">
      <c r="N14" t="n">
        <v>15.21</v>
      </c>
      <c r="O14" t="n">
        <v>0.609</v>
      </c>
      <c r="R14" t="n">
        <v>133950.6</v>
      </c>
      <c r="T14" t="n">
        <v>16.77</v>
      </c>
    </row>
    <row r="15">
      <c r="N15" t="n">
        <v>15.31</v>
      </c>
      <c r="O15" t="n">
        <v>0.5629999999999999</v>
      </c>
      <c r="R15" t="n">
        <v>134491.5</v>
      </c>
      <c r="T15" t="n">
        <v>15.417</v>
      </c>
    </row>
    <row r="16">
      <c r="N16" t="n">
        <v>15.51</v>
      </c>
      <c r="O16" t="n">
        <v>0.495</v>
      </c>
      <c r="R16" t="n">
        <v>135573.2</v>
      </c>
      <c r="T16" t="n">
        <v>13.406</v>
      </c>
    </row>
    <row r="17">
      <c r="N17" t="n">
        <v>15.71</v>
      </c>
      <c r="O17" t="n">
        <v>0.501</v>
      </c>
      <c r="R17" t="n">
        <v>136655</v>
      </c>
      <c r="T17" t="n">
        <v>13.595</v>
      </c>
    </row>
    <row r="18">
      <c r="N18" t="n">
        <v>15.91</v>
      </c>
      <c r="O18" t="n">
        <v>0.491</v>
      </c>
      <c r="R18" t="n">
        <v>137736.7</v>
      </c>
      <c r="T18" t="n">
        <v>13.294</v>
      </c>
    </row>
    <row r="19">
      <c r="N19" t="n">
        <v>16.11</v>
      </c>
      <c r="O19" t="n">
        <v>0.464</v>
      </c>
      <c r="R19" t="n">
        <v>138818.4</v>
      </c>
      <c r="T19" t="n">
        <v>12.509</v>
      </c>
    </row>
    <row r="20">
      <c r="N20" t="n">
        <v>16.31</v>
      </c>
      <c r="O20" t="n">
        <v>0.471</v>
      </c>
      <c r="R20" t="n">
        <v>139900.2</v>
      </c>
      <c r="T20" t="n">
        <v>12.7</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8.xml><?xml version="1.0" encoding="utf-8"?>
<worksheet xmlns="http://schemas.openxmlformats.org/spreadsheetml/2006/main">
  <sheetPr>
    <tabColor rgb="FF0000FF"/>
    <outlinePr summaryBelow="1" summaryRight="1"/>
    <pageSetUpPr/>
  </sheetPr>
  <dimension ref="A1:AB200"/>
  <sheetViews>
    <sheetView topLeftCell="C1" zoomScale="67" workbookViewId="0">
      <selection activeCell="P31" sqref="P31"/>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c r="AA1" s="8" t="inlineStr">
        <is>
          <t>d18O_calcite</t>
        </is>
      </c>
      <c r="AB1" s="8" t="inlineStr">
        <is>
          <t>d18O_sw</t>
        </is>
      </c>
    </row>
    <row r="2">
      <c r="A2" s="9" t="inlineStr">
        <is>
          <t>ODP999A</t>
        </is>
      </c>
      <c r="B2" s="12" t="n">
        <v>-78.73</v>
      </c>
      <c r="C2" s="12" t="n">
        <v>12.75</v>
      </c>
      <c r="D2" s="10" t="inlineStr">
        <is>
          <t>MgCa</t>
        </is>
      </c>
      <c r="E2" s="6" t="n"/>
      <c r="F2" s="6" t="n"/>
      <c r="G2" s="6" t="n"/>
      <c r="N2" t="n">
        <v>481</v>
      </c>
      <c r="O2" t="n">
        <v>3.722</v>
      </c>
      <c r="R2" t="n">
        <v>115880</v>
      </c>
      <c r="T2" t="n">
        <v>27.1</v>
      </c>
      <c r="V2" s="6" t="inlineStr">
        <is>
          <t>Schmidt, M.W., H.J. Spero, and D.W. Lea. 2004. Links between salinity variation in the Caribbean and North Atlantic thermohaline circulation. Nature, 428, 160-163. doi: 10.1038/nature02346</t>
        </is>
      </c>
      <c r="W2" s="13" t="inlineStr">
        <is>
          <t>https://www.ncei.noaa.gov/pub/data/paleo/paleocean/sediment_files/complete/odp999a-tab.txt</t>
        </is>
      </c>
      <c r="Y2" s="6" t="inlineStr">
        <is>
          <t>d18Ocalcite are measurements on the planktic foraminifera Globigerinoides ruber, which are used to reconstruct d18O seawater. d18Ocalcite and d18Osw are reported as extra columns to avoid confusion with Hoffman et al.'s convensions</t>
        </is>
      </c>
      <c r="Z2" t="n">
        <v>-2827</v>
      </c>
      <c r="AA2" t="n">
        <v>-1.7</v>
      </c>
      <c r="AB2" t="n">
        <v>0.76</v>
      </c>
    </row>
    <row r="3">
      <c r="E3" s="6" t="n"/>
      <c r="F3" s="6" t="n"/>
      <c r="G3" s="6" t="n"/>
      <c r="N3" t="n">
        <v>488</v>
      </c>
      <c r="O3" t="n">
        <v>3.931</v>
      </c>
      <c r="R3" t="n">
        <v>117590</v>
      </c>
      <c r="T3" t="n">
        <v>27.7</v>
      </c>
      <c r="AA3" t="n">
        <v>-1.85</v>
      </c>
      <c r="AB3" t="n">
        <v>0.73</v>
      </c>
    </row>
    <row r="4">
      <c r="E4" s="6" t="n"/>
      <c r="F4" s="6" t="n"/>
      <c r="G4" s="6" t="n"/>
      <c r="N4" t="n">
        <v>493</v>
      </c>
      <c r="O4" t="n">
        <v>3.746</v>
      </c>
      <c r="R4" t="n">
        <v>118820</v>
      </c>
      <c r="T4" t="n">
        <v>27.1</v>
      </c>
      <c r="AA4" t="n">
        <v>-1.96</v>
      </c>
      <c r="AB4" t="n">
        <v>0.51</v>
      </c>
    </row>
    <row r="5">
      <c r="E5" s="6" t="n"/>
      <c r="F5" s="6" t="n"/>
      <c r="G5" s="6" t="n"/>
      <c r="N5" t="n">
        <v>498</v>
      </c>
      <c r="O5" t="n">
        <v>4.053</v>
      </c>
      <c r="R5" t="n">
        <v>120040</v>
      </c>
      <c r="T5" t="n">
        <v>28</v>
      </c>
      <c r="AA5" t="n">
        <v>-1.88</v>
      </c>
      <c r="AB5" t="n">
        <v>0.78</v>
      </c>
    </row>
    <row r="6">
      <c r="N6" t="n">
        <v>503</v>
      </c>
      <c r="O6" t="n">
        <v>4.107</v>
      </c>
      <c r="R6" t="n">
        <v>121440</v>
      </c>
      <c r="T6" t="n">
        <v>28.2</v>
      </c>
      <c r="AA6" t="n">
        <v>-1.74</v>
      </c>
      <c r="AB6" t="n">
        <v>0.95</v>
      </c>
    </row>
    <row r="7">
      <c r="N7" t="n">
        <v>506</v>
      </c>
      <c r="O7" t="n">
        <v>4.453</v>
      </c>
      <c r="R7" t="n">
        <v>123890</v>
      </c>
      <c r="T7" t="n">
        <v>29.1</v>
      </c>
      <c r="AA7" t="n">
        <v>-2.07</v>
      </c>
      <c r="AB7" t="n">
        <v>0.8</v>
      </c>
    </row>
    <row r="8">
      <c r="N8" t="n">
        <v>511</v>
      </c>
      <c r="O8" t="n">
        <v>4.311</v>
      </c>
      <c r="R8" t="n">
        <v>126100</v>
      </c>
      <c r="T8" t="n">
        <v>28.7</v>
      </c>
      <c r="AA8" t="n">
        <v>-1.83</v>
      </c>
      <c r="AB8" t="n">
        <v>0.97</v>
      </c>
    </row>
    <row r="9">
      <c r="N9" t="n">
        <v>517</v>
      </c>
      <c r="O9" t="n">
        <v>4.655</v>
      </c>
      <c r="R9" t="n">
        <v>128600</v>
      </c>
      <c r="T9" t="n">
        <v>29.5</v>
      </c>
      <c r="AA9" t="n">
        <v>-1.68</v>
      </c>
      <c r="AB9" t="n">
        <v>1.3</v>
      </c>
    </row>
    <row r="10">
      <c r="N10" t="n">
        <v>522</v>
      </c>
      <c r="O10" t="n">
        <v>4.516</v>
      </c>
      <c r="R10" t="n">
        <v>130750</v>
      </c>
      <c r="T10" t="n">
        <v>29.2</v>
      </c>
      <c r="AA10" t="n">
        <v>-1.76</v>
      </c>
      <c r="AB10" t="n">
        <v>1.15</v>
      </c>
    </row>
    <row r="11">
      <c r="N11" t="n">
        <v>526</v>
      </c>
      <c r="O11" t="n">
        <v>4.26</v>
      </c>
      <c r="R11" t="n">
        <v>131800</v>
      </c>
      <c r="T11" t="n">
        <v>28.6</v>
      </c>
      <c r="AA11" t="n">
        <v>-1.51</v>
      </c>
      <c r="AB11" t="n">
        <v>1.26</v>
      </c>
    </row>
    <row r="12">
      <c r="N12" t="n">
        <v>531</v>
      </c>
      <c r="O12" t="n">
        <v>3.88</v>
      </c>
      <c r="R12" t="n">
        <v>132800</v>
      </c>
      <c r="T12" t="n">
        <v>27.5</v>
      </c>
      <c r="AA12" t="n">
        <v>-0.89</v>
      </c>
      <c r="AB12" t="n">
        <v>1.67</v>
      </c>
    </row>
    <row r="13">
      <c r="N13" t="n">
        <v>537</v>
      </c>
      <c r="O13" t="n">
        <v>4.01</v>
      </c>
      <c r="R13" t="n">
        <v>133200</v>
      </c>
      <c r="T13" t="n">
        <v>27.9</v>
      </c>
      <c r="AA13" t="n">
        <v>-0.55</v>
      </c>
      <c r="AB13" t="n">
        <v>2.08</v>
      </c>
    </row>
    <row r="14">
      <c r="N14" t="n">
        <v>542</v>
      </c>
      <c r="O14" t="n">
        <v>3.81</v>
      </c>
      <c r="R14" t="n">
        <v>135100</v>
      </c>
      <c r="T14" t="n">
        <v>27.3</v>
      </c>
      <c r="AA14" t="n">
        <v>-0.54</v>
      </c>
      <c r="AB14" t="n">
        <v>1.97</v>
      </c>
    </row>
    <row r="15">
      <c r="N15" t="n">
        <v>547</v>
      </c>
      <c r="O15" t="n">
        <v>3.32</v>
      </c>
      <c r="R15" t="n">
        <v>135900</v>
      </c>
      <c r="T15" t="n">
        <v>25.8</v>
      </c>
      <c r="AA15" t="n">
        <v>-0.24</v>
      </c>
      <c r="AB15" t="n">
        <v>1.95</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9.xml><?xml version="1.0" encoding="utf-8"?>
<worksheet xmlns="http://schemas.openxmlformats.org/spreadsheetml/2006/main">
  <sheetPr>
    <tabColor rgb="FF0000FF"/>
    <outlinePr summaryBelow="1" summaryRight="1"/>
    <pageSetUpPr/>
  </sheetPr>
  <dimension ref="A1:Z200"/>
  <sheetViews>
    <sheetView topLeftCell="D1" zoomScale="93" workbookViewId="0">
      <selection activeCell="W2" sqref="W2"/>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U939</t>
        </is>
      </c>
      <c r="B2" s="12" t="n">
        <v>179.3</v>
      </c>
      <c r="C2" s="12" t="n">
        <v>-44.32</v>
      </c>
      <c r="D2" s="10" t="inlineStr">
        <is>
          <t>UK37</t>
        </is>
      </c>
      <c r="E2" s="6" t="n"/>
      <c r="F2" s="6" t="n"/>
      <c r="G2" s="6" t="n"/>
      <c r="N2" s="23" t="n">
        <v>246</v>
      </c>
      <c r="O2" s="24" t="n">
        <v>0.524097591285315</v>
      </c>
      <c r="R2" s="22" t="n">
        <v>115857.5</v>
      </c>
      <c r="S2" s="6" t="n">
        <v>12.26757621427397</v>
      </c>
      <c r="T2" t="n">
        <v>14.26757621427397</v>
      </c>
      <c r="U2" s="6" t="n">
        <v>16.26757621427397</v>
      </c>
      <c r="V2" s="6" t="inlineStr">
        <is>
          <t>Sikes, E.L., W.R. Howard, H.L. Neil, and J.K. Volkman. 2002. Glacial-interglacial sea surface temperature changes across the subtropical front east of New Zealand based on alkenone unsaturation ratios and foraminiferal assemblages. Paleoceanography, 17(2), 1012. doi: 10.1029/2001PA000640</t>
        </is>
      </c>
      <c r="W2" s="13" t="inlineStr">
        <is>
          <t>https://www.ncei.noaa.gov/pub/data/paleo/paleocean/sediment_files/complete/u939-tab.txt</t>
        </is>
      </c>
      <c r="Y2" s="6" t="inlineStr">
        <is>
          <t xml:space="preserve">uk37 proxy values are Alkenone saturation index. Subsurface Uk37 SST calculated using Prahl and Wakeham [1998] (Uk'37 = 0.034T+0.039). One sigma =1.0°C Antarctic CRC/CSIRO Oceanography. </t>
        </is>
      </c>
      <c r="Z2" t="n">
        <v>-1300</v>
      </c>
    </row>
    <row r="3">
      <c r="E3" s="6" t="n"/>
      <c r="F3" s="6" t="n"/>
      <c r="G3" s="6" t="n"/>
      <c r="N3" s="23" t="n">
        <v>266</v>
      </c>
      <c r="O3" s="24" t="n">
        <v>0.4857165384792103</v>
      </c>
      <c r="R3" s="22" t="n">
        <v>129840</v>
      </c>
      <c r="S3" s="6" t="n">
        <v>11.13872171997677</v>
      </c>
      <c r="T3" t="n">
        <v>13.13872171997677</v>
      </c>
      <c r="U3" s="6" t="n">
        <v>15.13872171997677</v>
      </c>
    </row>
    <row r="4">
      <c r="E4" s="6" t="n"/>
      <c r="F4" s="6" t="n"/>
      <c r="G4" s="6" t="n"/>
    </row>
    <row r="5">
      <c r="E5" s="6" t="n"/>
      <c r="F5" s="6" t="n"/>
      <c r="G5" s="6" t="n"/>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0.xml><?xml version="1.0" encoding="utf-8"?>
<worksheet xmlns="http://schemas.openxmlformats.org/spreadsheetml/2006/main">
  <sheetPr>
    <tabColor rgb="FF0000FF"/>
    <outlinePr summaryBelow="1" summaryRight="1"/>
    <pageSetUpPr/>
  </sheetPr>
  <dimension ref="A1:Z200"/>
  <sheetViews>
    <sheetView zoomScale="62" workbookViewId="0">
      <selection activeCell="S24" sqref="S24"/>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SO136-111</t>
        </is>
      </c>
      <c r="B2" s="12" t="n">
        <v>160.23</v>
      </c>
      <c r="C2" s="12" t="n">
        <v>-56.67</v>
      </c>
      <c r="D2" s="10" t="inlineStr">
        <is>
          <t>Diatom</t>
        </is>
      </c>
      <c r="E2" s="6" t="n"/>
      <c r="F2" s="6" t="n"/>
      <c r="G2" s="6" t="n"/>
      <c r="L2" t="n">
        <v>396</v>
      </c>
      <c r="M2" t="n">
        <v>3.81</v>
      </c>
      <c r="N2" t="n">
        <v>402</v>
      </c>
      <c r="O2" s="24" t="n"/>
      <c r="Q2" s="1" t="n"/>
      <c r="R2" t="n">
        <v>115910</v>
      </c>
      <c r="T2" t="n">
        <v>5.46</v>
      </c>
      <c r="V2" s="6" t="inlineStr">
        <is>
          <t>Crosta, X., A. Sturm, L. Armand, and J.-J. Pichon. 2004. Late Quaternary sea ice history in the Indian sector of the Southern Ocean as recorded by diatom assemblages. Marine Micropaleontology, 50, 209-223. doi: 10.1016/S0377-8398(03)00072-0</t>
        </is>
      </c>
      <c r="W2" s="13" t="inlineStr">
        <is>
          <t>https://www.ncei.noaa.gov/pub/data/paleo/contributions_by_author/crosta2004/crosta2004.txt</t>
        </is>
      </c>
      <c r="Y2" s="6" t="inlineStr">
        <is>
          <t xml:space="preserve">NOTE: SST is February reconstruction.
A Modern Analog Technique (MAT5201/31) has been applied to fossil diatom assemblages to provide down-core estimates of February sea-surface temperatures (SSTs) </t>
        </is>
      </c>
      <c r="Z2" t="n">
        <v>-3912</v>
      </c>
    </row>
    <row r="3">
      <c r="E3" s="6" t="n"/>
      <c r="F3" s="6" t="n"/>
      <c r="G3" s="6" t="n"/>
      <c r="L3" t="n">
        <v>401</v>
      </c>
      <c r="M3" t="n">
        <v>2.9</v>
      </c>
      <c r="N3" t="n">
        <v>406</v>
      </c>
      <c r="O3" s="24" t="n"/>
      <c r="Q3" s="1" t="n"/>
      <c r="R3" t="n">
        <v>116470</v>
      </c>
      <c r="T3" t="n">
        <v>5.03</v>
      </c>
    </row>
    <row r="4">
      <c r="E4" s="6" t="n"/>
      <c r="F4" s="6" t="n"/>
      <c r="G4" s="6" t="n"/>
      <c r="L4" t="n">
        <v>406</v>
      </c>
      <c r="M4" t="n">
        <v>3.06</v>
      </c>
      <c r="N4" t="n">
        <v>410</v>
      </c>
      <c r="Q4" s="1" t="n"/>
      <c r="R4" t="n">
        <v>117040</v>
      </c>
      <c r="T4" t="n">
        <v>5.7</v>
      </c>
    </row>
    <row r="5">
      <c r="E5" s="6" t="n"/>
      <c r="F5" s="6" t="n"/>
      <c r="G5" s="6" t="n"/>
      <c r="L5" t="n">
        <v>411</v>
      </c>
      <c r="M5" t="n">
        <v>2.75</v>
      </c>
      <c r="N5" t="n">
        <v>414</v>
      </c>
      <c r="Q5" s="1" t="n"/>
      <c r="R5" t="n">
        <v>117610</v>
      </c>
      <c r="T5" t="n">
        <v>5.24</v>
      </c>
    </row>
    <row r="6">
      <c r="L6" t="n">
        <v>416</v>
      </c>
      <c r="M6" t="n">
        <v>2.62</v>
      </c>
      <c r="N6" t="n">
        <v>420</v>
      </c>
      <c r="Q6" s="1" t="n"/>
      <c r="R6" t="n">
        <v>118460</v>
      </c>
      <c r="T6" t="n">
        <v>5.01</v>
      </c>
    </row>
    <row r="7">
      <c r="L7" t="n">
        <v>421</v>
      </c>
      <c r="M7" t="n">
        <v>2.65</v>
      </c>
      <c r="N7" t="n">
        <v>424</v>
      </c>
      <c r="Q7" s="1" t="n"/>
      <c r="R7" t="n">
        <v>119030</v>
      </c>
      <c r="T7" t="n">
        <v>5.13</v>
      </c>
    </row>
    <row r="8">
      <c r="L8" t="n">
        <v>426</v>
      </c>
      <c r="M8" t="n">
        <v>2.69</v>
      </c>
      <c r="N8" t="n">
        <v>430</v>
      </c>
      <c r="Q8" s="1" t="n"/>
      <c r="R8" t="n">
        <v>119880</v>
      </c>
      <c r="T8" t="n">
        <v>5.55</v>
      </c>
    </row>
    <row r="9">
      <c r="L9" t="n">
        <v>431</v>
      </c>
      <c r="M9" t="n">
        <v>2.66</v>
      </c>
      <c r="N9" t="n">
        <v>434</v>
      </c>
      <c r="Q9" s="1" t="n"/>
      <c r="R9" t="n">
        <v>120450</v>
      </c>
      <c r="T9" t="n">
        <v>5.17</v>
      </c>
    </row>
    <row r="10">
      <c r="L10" t="n">
        <v>436</v>
      </c>
      <c r="M10" t="n">
        <v>2.77</v>
      </c>
      <c r="N10" t="n">
        <v>440</v>
      </c>
      <c r="Q10" s="1" t="n"/>
      <c r="R10" t="n">
        <v>121310</v>
      </c>
      <c r="T10" t="n">
        <v>4.87</v>
      </c>
    </row>
    <row r="11">
      <c r="L11" t="n">
        <v>441</v>
      </c>
      <c r="M11" t="n">
        <v>2.66</v>
      </c>
      <c r="N11" t="n">
        <v>444</v>
      </c>
      <c r="Q11" s="1" t="n"/>
      <c r="R11" t="n">
        <v>121870</v>
      </c>
      <c r="T11" t="n">
        <v>5.24</v>
      </c>
    </row>
    <row r="12">
      <c r="L12" t="n">
        <v>446</v>
      </c>
      <c r="M12" t="n">
        <v>2.81</v>
      </c>
      <c r="N12" t="n">
        <v>450</v>
      </c>
      <c r="Q12" s="1" t="n"/>
      <c r="R12" t="n">
        <v>122730</v>
      </c>
      <c r="T12" t="n">
        <v>4.98</v>
      </c>
    </row>
    <row r="13">
      <c r="L13" t="n">
        <v>451</v>
      </c>
      <c r="M13" t="n">
        <v>2.77</v>
      </c>
      <c r="N13" t="n">
        <v>454</v>
      </c>
      <c r="Q13" s="1" t="n"/>
      <c r="R13" t="n">
        <v>123290</v>
      </c>
      <c r="T13" t="n">
        <v>4.4</v>
      </c>
    </row>
    <row r="14">
      <c r="L14" t="n">
        <v>456</v>
      </c>
      <c r="M14" t="n">
        <v>2.84</v>
      </c>
      <c r="N14" t="n">
        <v>460</v>
      </c>
      <c r="Q14" s="1" t="n"/>
      <c r="R14" t="n">
        <v>124150</v>
      </c>
      <c r="T14" t="n">
        <v>4.25</v>
      </c>
    </row>
    <row r="15">
      <c r="L15" t="n">
        <v>461</v>
      </c>
      <c r="M15" t="n">
        <v>2.81</v>
      </c>
      <c r="N15" t="n">
        <v>464</v>
      </c>
      <c r="Q15" s="1" t="n"/>
      <c r="R15" t="n">
        <v>124720</v>
      </c>
      <c r="T15" t="n">
        <v>6.07</v>
      </c>
    </row>
    <row r="16">
      <c r="L16" t="n">
        <v>466</v>
      </c>
      <c r="M16" t="n">
        <v>2.87</v>
      </c>
      <c r="N16" t="n">
        <v>470</v>
      </c>
      <c r="Q16" s="1" t="n"/>
      <c r="R16" t="n">
        <v>126180</v>
      </c>
      <c r="T16" t="n">
        <v>5.36</v>
      </c>
    </row>
    <row r="17">
      <c r="L17" t="n">
        <v>471</v>
      </c>
      <c r="M17" t="n">
        <v>3.13</v>
      </c>
      <c r="N17" t="n">
        <v>474</v>
      </c>
      <c r="Q17" s="1" t="n"/>
      <c r="R17" t="n">
        <v>127360</v>
      </c>
      <c r="T17" t="n">
        <v>5.84</v>
      </c>
    </row>
    <row r="18">
      <c r="L18" t="n">
        <v>476</v>
      </c>
      <c r="M18" t="n">
        <v>3.19</v>
      </c>
      <c r="N18" t="n">
        <v>480</v>
      </c>
      <c r="Q18" s="1" t="n"/>
      <c r="R18" t="n">
        <v>129140</v>
      </c>
      <c r="T18" t="n">
        <v>5.81</v>
      </c>
    </row>
    <row r="19">
      <c r="L19" t="n">
        <v>481</v>
      </c>
      <c r="M19" t="n">
        <v>3.72</v>
      </c>
      <c r="N19" t="n">
        <v>484</v>
      </c>
      <c r="Q19" s="1" t="n"/>
      <c r="R19" t="n">
        <v>130320</v>
      </c>
      <c r="T19" t="n">
        <v>3.84</v>
      </c>
    </row>
    <row r="20">
      <c r="L20" t="n">
        <v>486</v>
      </c>
      <c r="N20" t="n">
        <v>490</v>
      </c>
      <c r="Q20" s="1" t="n"/>
      <c r="R20" t="n">
        <v>132090</v>
      </c>
      <c r="T20" t="n">
        <v>3.34</v>
      </c>
    </row>
    <row r="21">
      <c r="L21" t="n">
        <v>486</v>
      </c>
      <c r="M21" t="n">
        <v>4.14</v>
      </c>
      <c r="N21" t="n">
        <v>494</v>
      </c>
      <c r="Q21" s="1" t="n"/>
      <c r="R21" t="n">
        <v>133270</v>
      </c>
      <c r="T21" t="n">
        <v>2.78</v>
      </c>
    </row>
    <row r="22">
      <c r="L22" t="n">
        <v>496</v>
      </c>
      <c r="M22" t="n">
        <v>4.33</v>
      </c>
      <c r="N22" t="n">
        <v>500</v>
      </c>
      <c r="Q22" s="1" t="n"/>
      <c r="R22" t="n">
        <v>135040</v>
      </c>
      <c r="T22" t="n">
        <v>3.62</v>
      </c>
    </row>
    <row r="23">
      <c r="L23" t="n">
        <v>501</v>
      </c>
      <c r="M23" t="n">
        <v>4.52</v>
      </c>
      <c r="N23" t="n">
        <v>504</v>
      </c>
      <c r="Q23" s="1" t="n"/>
      <c r="R23" t="n">
        <v>138930</v>
      </c>
      <c r="T23" t="n">
        <v>1.76</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1.xml><?xml version="1.0" encoding="utf-8"?>
<worksheet xmlns="http://schemas.openxmlformats.org/spreadsheetml/2006/main">
  <sheetPr>
    <tabColor rgb="FF0000FF"/>
    <outlinePr summaryBelow="1" summaryRight="1"/>
    <pageSetUpPr/>
  </sheetPr>
  <dimension ref="A1:Z200"/>
  <sheetViews>
    <sheetView zoomScale="62" workbookViewId="0">
      <selection activeCell="Q15" sqref="Q15"/>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MD02-2575</t>
        </is>
      </c>
      <c r="B2" s="12" t="n">
        <v>-87.11888999999999</v>
      </c>
      <c r="C2" s="12" t="n">
        <v>29.00167</v>
      </c>
      <c r="D2" s="10" t="inlineStr">
        <is>
          <t>MgCa</t>
        </is>
      </c>
      <c r="E2" s="6" t="n"/>
      <c r="F2" s="6" t="n"/>
      <c r="G2" s="6" t="n"/>
      <c r="L2" t="n">
        <v>1405</v>
      </c>
      <c r="M2" t="n">
        <v>-0.747</v>
      </c>
      <c r="N2" t="n">
        <v>1405</v>
      </c>
      <c r="O2" t="n">
        <v>4.266</v>
      </c>
      <c r="P2" t="n">
        <v>26.87</v>
      </c>
      <c r="R2" t="n">
        <v>114000</v>
      </c>
      <c r="T2" t="n">
        <v>26.87</v>
      </c>
      <c r="V2" s="6" t="inlineStr">
        <is>
          <t>Nürnberg, D., M. Ziegler, C. Karas, R. Tiedemann, and M. Schmidt. 2008. Interacting Loop Current variability and Mississippi River discharge over the past 400 kyr. Earth and Planetary Science Letters, 272(1-2), 278-289. doi: 10.1016/j.epsl.2008.04.051</t>
        </is>
      </c>
      <c r="W2" s="13" t="inlineStr">
        <is>
          <t>https://www.ncei.noaa.gov/pub/data/paleo/paleocean/sediment_files/complete/md2-2575-tab.txt</t>
        </is>
      </c>
      <c r="Y2" s="6" t="inlineStr">
        <is>
          <t>The data link provides "delta d18O PDB" time series from two species: Globigerinoides ruber (white) and Uvigerina peregrina. However, because G. ruber is used to provide the Mg/Ca ratio which is used to infer SST, the d18O column in this spreadsheet uses the delta d18O PDB data from G. ruber. The U. peregrina time series is still available through the data link.</t>
        </is>
      </c>
      <c r="Z2" t="n">
        <v>-847</v>
      </c>
    </row>
    <row r="3">
      <c r="E3" s="6" t="n"/>
      <c r="F3" s="6" t="n"/>
      <c r="G3" s="6" t="n"/>
      <c r="L3" t="n">
        <v>1410</v>
      </c>
      <c r="M3" t="n">
        <v>-0.469</v>
      </c>
      <c r="N3" t="n">
        <v>1410</v>
      </c>
      <c r="O3" t="n">
        <v>4.108</v>
      </c>
      <c r="P3" t="n">
        <v>26.45</v>
      </c>
      <c r="R3" t="n">
        <v>115667</v>
      </c>
      <c r="T3" t="n">
        <v>26.45</v>
      </c>
    </row>
    <row r="4">
      <c r="E4" s="6" t="n"/>
      <c r="F4" s="6" t="n"/>
      <c r="G4" s="6" t="n"/>
      <c r="L4" t="n">
        <v>1415</v>
      </c>
      <c r="M4" t="n">
        <v>-1.614</v>
      </c>
      <c r="N4" t="n">
        <v>1415</v>
      </c>
      <c r="O4" t="n">
        <v>4.397</v>
      </c>
      <c r="P4" t="n">
        <v>27.21</v>
      </c>
      <c r="R4" t="n">
        <v>117333</v>
      </c>
      <c r="T4" t="n">
        <v>27.21</v>
      </c>
    </row>
    <row r="5">
      <c r="E5" s="6" t="n"/>
      <c r="F5" s="6" t="n"/>
      <c r="G5" s="6" t="n"/>
      <c r="L5" t="n">
        <v>1420</v>
      </c>
      <c r="M5" t="n">
        <v>-1.32</v>
      </c>
      <c r="N5" t="n">
        <v>1420</v>
      </c>
      <c r="O5" t="n">
        <v>4.116</v>
      </c>
      <c r="P5" t="n">
        <v>26.47</v>
      </c>
      <c r="R5" t="n">
        <v>119000</v>
      </c>
      <c r="T5" t="n">
        <v>26.47</v>
      </c>
    </row>
    <row r="6">
      <c r="L6" t="n">
        <v>1425</v>
      </c>
      <c r="M6" t="n">
        <v>-1.474</v>
      </c>
      <c r="N6" t="n">
        <v>1425</v>
      </c>
      <c r="O6" t="n">
        <v>4.675</v>
      </c>
      <c r="P6" t="n">
        <v>27.89</v>
      </c>
      <c r="R6" t="n">
        <v>119727</v>
      </c>
      <c r="T6" t="n">
        <v>27.89</v>
      </c>
    </row>
    <row r="7">
      <c r="L7" t="n">
        <v>1430</v>
      </c>
      <c r="M7" t="n">
        <v>-1.369</v>
      </c>
      <c r="N7" t="n">
        <v>1430</v>
      </c>
      <c r="O7" t="n">
        <v>5.19</v>
      </c>
      <c r="P7" t="n">
        <v>29.05</v>
      </c>
      <c r="R7" t="n">
        <v>120455</v>
      </c>
      <c r="T7" t="n">
        <v>29.05</v>
      </c>
    </row>
    <row r="8">
      <c r="L8" t="n">
        <v>1435</v>
      </c>
      <c r="M8" t="n">
        <v>-1.926</v>
      </c>
      <c r="N8" t="n">
        <v>1435</v>
      </c>
      <c r="O8" t="n">
        <v>5.6</v>
      </c>
      <c r="P8" t="n">
        <v>29.89</v>
      </c>
      <c r="R8" t="n">
        <v>121182</v>
      </c>
      <c r="T8" t="n">
        <v>29.89</v>
      </c>
    </row>
    <row r="9">
      <c r="L9" t="n">
        <v>1440</v>
      </c>
      <c r="M9" t="n">
        <v>-1.652</v>
      </c>
      <c r="N9" t="n">
        <v>1440</v>
      </c>
      <c r="O9" t="n">
        <v>5.02</v>
      </c>
      <c r="P9" t="n">
        <v>28.68</v>
      </c>
      <c r="R9" t="n">
        <v>121909</v>
      </c>
      <c r="T9" t="n">
        <v>28.68</v>
      </c>
    </row>
    <row r="10">
      <c r="L10" t="n">
        <v>1445</v>
      </c>
      <c r="M10" t="n">
        <v>-1.684</v>
      </c>
      <c r="N10" t="n">
        <v>1445</v>
      </c>
      <c r="O10" t="n">
        <v>5.09</v>
      </c>
      <c r="P10" t="n">
        <v>28.83</v>
      </c>
      <c r="R10" t="n">
        <v>122636</v>
      </c>
      <c r="T10" t="n">
        <v>28.83</v>
      </c>
    </row>
    <row r="11">
      <c r="L11" t="n">
        <v>1450</v>
      </c>
      <c r="M11" t="n">
        <v>-1.638</v>
      </c>
      <c r="N11" t="n">
        <v>1450</v>
      </c>
      <c r="O11" t="n">
        <v>4.969</v>
      </c>
      <c r="P11" t="n">
        <v>28.56</v>
      </c>
      <c r="R11" t="n">
        <v>123364</v>
      </c>
      <c r="T11" t="n">
        <v>28.56</v>
      </c>
    </row>
    <row r="12">
      <c r="L12" t="n">
        <v>1455</v>
      </c>
      <c r="M12" t="n">
        <v>-1.539</v>
      </c>
      <c r="N12" t="n">
        <v>1455</v>
      </c>
      <c r="O12" t="n">
        <v>4.813</v>
      </c>
      <c r="P12" t="n">
        <v>28.21</v>
      </c>
      <c r="R12" t="n">
        <v>124091</v>
      </c>
      <c r="T12" t="n">
        <v>28.21</v>
      </c>
    </row>
    <row r="13">
      <c r="L13" t="n">
        <v>1460</v>
      </c>
      <c r="M13" t="n">
        <v>-1.807</v>
      </c>
      <c r="N13" t="n">
        <v>1460</v>
      </c>
      <c r="O13" t="n">
        <v>4.934</v>
      </c>
      <c r="P13" t="n">
        <v>28.49</v>
      </c>
      <c r="R13" t="n">
        <v>124818</v>
      </c>
      <c r="T13" t="n">
        <v>28.49</v>
      </c>
    </row>
    <row r="14">
      <c r="L14" t="n">
        <v>1465</v>
      </c>
      <c r="M14" t="n">
        <v>-1.942</v>
      </c>
      <c r="N14" t="n">
        <v>1465</v>
      </c>
      <c r="O14" t="n">
        <v>4.938</v>
      </c>
      <c r="P14" t="n">
        <v>28.49</v>
      </c>
      <c r="R14" t="n">
        <v>125545</v>
      </c>
      <c r="T14" t="n">
        <v>28.49</v>
      </c>
    </row>
    <row r="15">
      <c r="L15" t="n">
        <v>1470</v>
      </c>
      <c r="M15" t="n">
        <v>-1.756</v>
      </c>
      <c r="N15" t="n">
        <v>1470</v>
      </c>
      <c r="O15" t="n">
        <v>4.593</v>
      </c>
      <c r="P15" t="n">
        <v>27.69</v>
      </c>
      <c r="R15" t="n">
        <v>126273</v>
      </c>
      <c r="T15" t="n">
        <v>27.69</v>
      </c>
    </row>
    <row r="16">
      <c r="L16" t="n">
        <v>1475</v>
      </c>
      <c r="M16" t="n">
        <v>-1.838</v>
      </c>
      <c r="N16" t="n">
        <v>1475</v>
      </c>
      <c r="O16" t="n">
        <v>4.299</v>
      </c>
      <c r="P16" t="n">
        <v>26.96</v>
      </c>
      <c r="R16" t="n">
        <v>127000</v>
      </c>
      <c r="T16" t="n">
        <v>26.96</v>
      </c>
    </row>
    <row r="17">
      <c r="L17" t="n">
        <v>1480</v>
      </c>
      <c r="M17" t="n">
        <v>-1.877</v>
      </c>
      <c r="N17" t="n">
        <v>1480</v>
      </c>
      <c r="O17" t="n">
        <v>4.59</v>
      </c>
      <c r="P17" t="n">
        <v>27.68</v>
      </c>
      <c r="R17" t="n">
        <v>127727</v>
      </c>
      <c r="T17" t="n">
        <v>27.68</v>
      </c>
    </row>
    <row r="18">
      <c r="L18" t="n">
        <v>1485</v>
      </c>
      <c r="M18" t="n">
        <v>-0.864</v>
      </c>
      <c r="N18" t="n">
        <v>1485</v>
      </c>
      <c r="O18" t="n">
        <v>3.857</v>
      </c>
      <c r="P18" t="n">
        <v>25.75</v>
      </c>
      <c r="R18" t="n">
        <v>128455</v>
      </c>
      <c r="T18" t="n">
        <v>25.75</v>
      </c>
    </row>
    <row r="19">
      <c r="L19" t="n">
        <v>1490</v>
      </c>
      <c r="M19" t="n">
        <v>-0.888</v>
      </c>
      <c r="N19" t="n">
        <v>1490</v>
      </c>
      <c r="O19" t="n">
        <v>4.022</v>
      </c>
      <c r="P19" t="n">
        <v>26.22</v>
      </c>
      <c r="R19" t="n">
        <v>129182</v>
      </c>
      <c r="T19" t="n">
        <v>26.22</v>
      </c>
    </row>
    <row r="20">
      <c r="L20" t="n">
        <v>1495</v>
      </c>
      <c r="M20" t="n">
        <v>-0.459</v>
      </c>
      <c r="N20" t="n">
        <v>1495</v>
      </c>
      <c r="O20" t="n">
        <v>4.217</v>
      </c>
      <c r="P20" t="n">
        <v>26.74</v>
      </c>
      <c r="R20" t="n">
        <v>129909</v>
      </c>
      <c r="T20" t="n">
        <v>26.74</v>
      </c>
    </row>
    <row r="21">
      <c r="L21" t="n">
        <v>1498</v>
      </c>
      <c r="M21" t="n">
        <v>-0.98</v>
      </c>
      <c r="N21" t="n">
        <v>1498</v>
      </c>
      <c r="O21" t="n">
        <v>4.084</v>
      </c>
      <c r="P21" t="n">
        <v>26.39</v>
      </c>
      <c r="R21" t="n">
        <v>130345</v>
      </c>
      <c r="T21" t="n">
        <v>26.39</v>
      </c>
    </row>
    <row r="22">
      <c r="L22" t="n">
        <v>1502</v>
      </c>
      <c r="M22" t="n">
        <v>0.7</v>
      </c>
      <c r="N22" t="n">
        <v>1502</v>
      </c>
      <c r="O22" t="n">
        <v>4.208</v>
      </c>
      <c r="P22" t="n">
        <v>26.72</v>
      </c>
      <c r="R22" t="n">
        <v>130927</v>
      </c>
      <c r="T22" t="n">
        <v>26.72</v>
      </c>
    </row>
    <row r="23">
      <c r="L23" t="n">
        <v>1505</v>
      </c>
      <c r="M23" t="n">
        <v>0.206</v>
      </c>
      <c r="N23" t="n">
        <v>1505</v>
      </c>
      <c r="O23" t="n">
        <v>4.091</v>
      </c>
      <c r="P23" t="n">
        <v>26.4</v>
      </c>
      <c r="R23" t="n">
        <v>131364</v>
      </c>
      <c r="T23" t="n">
        <v>26.4</v>
      </c>
    </row>
    <row r="24">
      <c r="L24" t="n">
        <v>1510</v>
      </c>
      <c r="M24" t="n">
        <v>0.709</v>
      </c>
      <c r="N24" t="n">
        <v>1510</v>
      </c>
      <c r="O24" t="n">
        <v>3.875</v>
      </c>
      <c r="P24" t="n">
        <v>25.8</v>
      </c>
      <c r="R24" t="n">
        <v>132091</v>
      </c>
      <c r="T24" t="n">
        <v>25.8</v>
      </c>
    </row>
    <row r="25">
      <c r="L25" t="n">
        <v>1515</v>
      </c>
      <c r="M25" t="n">
        <v>0.538</v>
      </c>
      <c r="N25" t="n">
        <v>1515</v>
      </c>
      <c r="O25" t="n">
        <v>3.59</v>
      </c>
      <c r="P25" t="n">
        <v>24.95</v>
      </c>
      <c r="R25" t="n">
        <v>132818</v>
      </c>
      <c r="T25" t="n">
        <v>24.95</v>
      </c>
    </row>
    <row r="26">
      <c r="L26" t="n">
        <v>1520</v>
      </c>
      <c r="M26" t="n">
        <v>-0.358</v>
      </c>
      <c r="N26" t="n">
        <v>1520</v>
      </c>
      <c r="O26" t="n">
        <v>3.99</v>
      </c>
      <c r="P26" t="n">
        <v>26.13</v>
      </c>
      <c r="R26" t="n">
        <v>133545</v>
      </c>
      <c r="T26" t="n">
        <v>26.13</v>
      </c>
    </row>
    <row r="27">
      <c r="L27" t="n">
        <v>1525</v>
      </c>
      <c r="M27" t="n">
        <v>0.717</v>
      </c>
      <c r="N27" t="n">
        <v>1525</v>
      </c>
      <c r="O27" t="n">
        <v>3.694</v>
      </c>
      <c r="P27" t="n">
        <v>25.27</v>
      </c>
      <c r="R27" t="n">
        <v>134273</v>
      </c>
      <c r="T27" t="n">
        <v>25.27</v>
      </c>
    </row>
    <row r="28">
      <c r="L28" t="n">
        <v>1530</v>
      </c>
      <c r="M28" t="n">
        <v>1.188</v>
      </c>
      <c r="N28" t="n">
        <v>1530</v>
      </c>
      <c r="O28" t="n">
        <v>3.464</v>
      </c>
      <c r="P28" t="n">
        <v>24.56</v>
      </c>
      <c r="R28" t="n">
        <v>135000</v>
      </c>
      <c r="T28" t="n">
        <v>24.56</v>
      </c>
    </row>
    <row r="29">
      <c r="L29" t="n">
        <v>1535</v>
      </c>
      <c r="M29" t="n">
        <v>0.605</v>
      </c>
      <c r="N29" t="n">
        <v>1535</v>
      </c>
      <c r="O29" t="n">
        <v>3.705</v>
      </c>
      <c r="P29" t="n">
        <v>25.3</v>
      </c>
      <c r="R29" t="n">
        <v>135652</v>
      </c>
      <c r="T29" t="n">
        <v>25.3</v>
      </c>
    </row>
    <row r="30">
      <c r="L30" t="n">
        <v>1540</v>
      </c>
      <c r="M30" t="n">
        <v>0.311</v>
      </c>
      <c r="N30" t="n">
        <v>1540</v>
      </c>
      <c r="O30" t="n">
        <v>3.632</v>
      </c>
      <c r="P30" t="n">
        <v>25.08</v>
      </c>
      <c r="R30" t="n">
        <v>136304</v>
      </c>
      <c r="T30" t="n">
        <v>25.08</v>
      </c>
    </row>
    <row r="31">
      <c r="L31" t="n">
        <v>1545</v>
      </c>
      <c r="M31" t="n">
        <v>0.858</v>
      </c>
      <c r="N31" t="n">
        <v>1545</v>
      </c>
      <c r="O31" t="n">
        <v>3.642</v>
      </c>
      <c r="P31" t="n">
        <v>25.11</v>
      </c>
      <c r="R31" t="n">
        <v>136957</v>
      </c>
      <c r="T31" t="n">
        <v>25.11</v>
      </c>
    </row>
    <row r="32">
      <c r="L32" t="n">
        <v>1550</v>
      </c>
      <c r="M32" t="n">
        <v>0.944</v>
      </c>
      <c r="N32" t="n">
        <v>1550</v>
      </c>
      <c r="O32" t="n">
        <v>3.473</v>
      </c>
      <c r="P32" t="n">
        <v>24.58</v>
      </c>
      <c r="R32" t="n">
        <v>137609</v>
      </c>
      <c r="T32" t="n">
        <v>24.58</v>
      </c>
    </row>
    <row r="33">
      <c r="L33" t="n">
        <v>1555</v>
      </c>
      <c r="M33" t="n">
        <v>0.921</v>
      </c>
      <c r="N33" t="n">
        <v>1555</v>
      </c>
      <c r="O33" t="n">
        <v>3.649</v>
      </c>
      <c r="P33" t="n">
        <v>25.13</v>
      </c>
      <c r="R33" t="n">
        <v>138261</v>
      </c>
      <c r="T33" t="n">
        <v>25.13</v>
      </c>
    </row>
    <row r="34">
      <c r="L34" t="n">
        <v>1565</v>
      </c>
      <c r="M34" t="n">
        <v>0.643</v>
      </c>
      <c r="N34" t="n">
        <v>1565</v>
      </c>
      <c r="O34" t="n">
        <v>3.861</v>
      </c>
      <c r="P34" t="n">
        <v>25.76</v>
      </c>
      <c r="R34" t="n">
        <v>139565</v>
      </c>
      <c r="T34" t="n">
        <v>25.76</v>
      </c>
    </row>
    <row r="35">
      <c r="L35" t="n">
        <v>1570</v>
      </c>
      <c r="M35" t="n">
        <v>0.732</v>
      </c>
      <c r="N35" t="n">
        <v>1570</v>
      </c>
      <c r="O35" t="n">
        <v>3.722</v>
      </c>
      <c r="P35" t="n">
        <v>25.35</v>
      </c>
      <c r="R35" t="n">
        <v>140217</v>
      </c>
      <c r="T35" t="n">
        <v>25.35</v>
      </c>
    </row>
    <row r="36">
      <c r="L36" t="n">
        <v>1575</v>
      </c>
      <c r="M36" t="n">
        <v>0.603</v>
      </c>
      <c r="N36" t="n">
        <v>1575</v>
      </c>
      <c r="O36" t="n">
        <v>3.871</v>
      </c>
      <c r="P36" t="n">
        <v>25.79</v>
      </c>
      <c r="R36" t="n">
        <v>140870</v>
      </c>
      <c r="T36" t="n">
        <v>25.79</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legacyDrawing xmlns:r="http://schemas.openxmlformats.org/officeDocument/2006/relationships" r:id="anysvml"/>
</worksheet>
</file>

<file path=xl/worksheets/sheet12.xml><?xml version="1.0" encoding="utf-8"?>
<worksheet xmlns="http://schemas.openxmlformats.org/spreadsheetml/2006/main">
  <sheetPr>
    <tabColor rgb="FF0000FF"/>
    <outlinePr summaryBelow="1" summaryRight="1"/>
    <pageSetUpPr/>
  </sheetPr>
  <dimension ref="A1:Z200"/>
  <sheetViews>
    <sheetView topLeftCell="C1" zoomScale="88" workbookViewId="0">
      <selection activeCell="R18" sqref="R18"/>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RC10-62</t>
        </is>
      </c>
      <c r="B2" s="12" t="n">
        <v>-101.43</v>
      </c>
      <c r="C2" s="12" t="n">
        <v>3.2</v>
      </c>
      <c r="D2" s="10" t="inlineStr">
        <is>
          <t>Radiolaria</t>
        </is>
      </c>
      <c r="E2" s="6" t="n"/>
      <c r="F2" s="6" t="n"/>
      <c r="G2" s="6" t="n"/>
      <c r="N2" t="n">
        <v>240</v>
      </c>
      <c r="Q2" s="1" t="n"/>
      <c r="R2" t="n">
        <v>115839</v>
      </c>
      <c r="T2" t="n">
        <v>19.8</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https://www.ncei.noaa.gov/pub/data/paleo/contributions_by_author/pisias1997b/rc10-62_sst.ager</t>
        </is>
      </c>
      <c r="Z2" t="n">
        <v>-3120</v>
      </c>
    </row>
    <row r="3">
      <c r="E3" s="6" t="n"/>
      <c r="F3" s="6" t="n"/>
      <c r="G3" s="6" t="n"/>
      <c r="N3" t="n">
        <v>245</v>
      </c>
      <c r="Q3" s="1" t="n"/>
      <c r="R3" t="n">
        <v>118258</v>
      </c>
      <c r="T3" t="n">
        <v>19.87</v>
      </c>
    </row>
    <row r="4">
      <c r="E4" s="6" t="n"/>
      <c r="F4" s="6" t="n"/>
      <c r="G4" s="6" t="n"/>
      <c r="N4" t="n">
        <v>255</v>
      </c>
      <c r="Q4" s="1" t="n"/>
      <c r="R4" t="n">
        <v>121297</v>
      </c>
      <c r="T4" t="n">
        <v>20.52</v>
      </c>
    </row>
    <row r="5">
      <c r="E5" s="6" t="n"/>
      <c r="F5" s="6" t="n"/>
      <c r="G5" s="6" t="n"/>
      <c r="N5" t="n">
        <v>260</v>
      </c>
      <c r="Q5" s="1" t="n"/>
      <c r="R5" t="n">
        <v>122206</v>
      </c>
      <c r="T5" t="n">
        <v>19.67</v>
      </c>
    </row>
    <row r="6">
      <c r="N6" t="n">
        <v>265</v>
      </c>
      <c r="Q6" s="1" t="n"/>
      <c r="R6" t="n">
        <v>122987</v>
      </c>
      <c r="T6" t="n">
        <v>19.22</v>
      </c>
    </row>
    <row r="7">
      <c r="N7" t="n">
        <v>270</v>
      </c>
      <c r="Q7" s="1" t="n"/>
      <c r="R7" t="n">
        <v>124057</v>
      </c>
      <c r="T7" t="n">
        <v>20.09</v>
      </c>
    </row>
    <row r="8">
      <c r="N8" t="n">
        <v>285</v>
      </c>
      <c r="Q8" s="1" t="n"/>
      <c r="R8" t="n">
        <v>133885</v>
      </c>
      <c r="T8" t="n">
        <v>19.45</v>
      </c>
    </row>
    <row r="9">
      <c r="N9" t="n">
        <v>290</v>
      </c>
      <c r="Q9" s="1" t="n"/>
      <c r="R9" t="n">
        <v>137228</v>
      </c>
      <c r="T9" t="n">
        <v>16.49</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3.xml><?xml version="1.0" encoding="utf-8"?>
<worksheet xmlns="http://schemas.openxmlformats.org/spreadsheetml/2006/main">
  <sheetPr>
    <tabColor rgb="FF0000FF"/>
    <outlinePr summaryBelow="1" summaryRight="1"/>
    <pageSetUpPr/>
  </sheetPr>
  <dimension ref="A1:Z200"/>
  <sheetViews>
    <sheetView tabSelected="1" zoomScale="62" workbookViewId="0">
      <selection activeCell="N20" sqref="N20"/>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RC13-110</t>
        </is>
      </c>
      <c r="B2" s="12" t="n">
        <v>-96.08</v>
      </c>
      <c r="C2" s="12" t="n">
        <v>0.1</v>
      </c>
      <c r="D2" s="10" t="inlineStr">
        <is>
          <t>Radiolaria</t>
        </is>
      </c>
      <c r="E2" s="6" t="n"/>
      <c r="F2" s="6" t="n"/>
      <c r="G2" s="6" t="n"/>
      <c r="N2" t="n">
        <v>271</v>
      </c>
      <c r="R2" t="n">
        <v>117391</v>
      </c>
      <c r="T2" t="n">
        <v>24.61</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https://www.ncei.noaa.gov/pub/data/paleo/contributions_by_author/pisias1997b/rc13-110_sst.ager</t>
        </is>
      </c>
      <c r="Z2" t="n">
        <v>-3231</v>
      </c>
    </row>
    <row r="3">
      <c r="E3" s="6" t="n"/>
      <c r="F3" s="6" t="n"/>
      <c r="G3" s="6" t="n"/>
      <c r="N3" t="n">
        <v>281</v>
      </c>
      <c r="R3" t="n">
        <v>120845</v>
      </c>
      <c r="T3" t="n">
        <v>26.34</v>
      </c>
    </row>
    <row r="4">
      <c r="E4" s="6" t="n"/>
      <c r="F4" s="6" t="n"/>
      <c r="G4" s="6" t="n"/>
      <c r="N4" t="n">
        <v>291</v>
      </c>
      <c r="R4" t="n">
        <v>124516</v>
      </c>
      <c r="T4" t="n">
        <v>24.23</v>
      </c>
    </row>
    <row r="5">
      <c r="E5" s="6" t="n"/>
      <c r="F5" s="6" t="n"/>
      <c r="G5" s="6" t="n"/>
      <c r="N5" t="n">
        <v>301</v>
      </c>
      <c r="R5" t="n">
        <v>128516</v>
      </c>
      <c r="T5" t="n">
        <v>23.84</v>
      </c>
    </row>
    <row r="6">
      <c r="N6" t="n">
        <v>311</v>
      </c>
      <c r="R6" t="n">
        <v>132373</v>
      </c>
      <c r="T6" t="n">
        <v>23.42</v>
      </c>
    </row>
    <row r="7">
      <c r="N7" t="n">
        <v>321</v>
      </c>
      <c r="R7" t="n">
        <v>136841</v>
      </c>
      <c r="T7" t="n">
        <v>21.31</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tabColor rgb="FF0000FF"/>
    <outlinePr summaryBelow="1" summaryRight="1"/>
    <pageSetUpPr/>
  </sheetPr>
  <dimension ref="A1:Z200"/>
  <sheetViews>
    <sheetView zoomScale="62" workbookViewId="0">
      <selection activeCell="B3" sqref="B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RC13-115</t>
        </is>
      </c>
      <c r="B2" s="12" t="n">
        <v>-104.5</v>
      </c>
      <c r="C2" s="12" t="n">
        <v>-1.38</v>
      </c>
      <c r="D2" s="10" t="inlineStr">
        <is>
          <t>Radiolaria</t>
        </is>
      </c>
      <c r="E2" s="6" t="n"/>
      <c r="F2" s="6" t="n"/>
      <c r="G2" s="6" t="n"/>
      <c r="N2" t="n">
        <v>195</v>
      </c>
      <c r="R2" t="n">
        <v>115432</v>
      </c>
      <c r="T2" t="n">
        <v>23.91</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https://www.ncei.noaa.gov/pub/data/paleo/contributions_by_author/pisias1997b/rc13-115_sst.ager</t>
        </is>
      </c>
      <c r="Z2" t="n">
        <v>-3621</v>
      </c>
    </row>
    <row r="3">
      <c r="E3" s="6" t="n"/>
      <c r="F3" s="6" t="n"/>
      <c r="G3" s="6" t="n"/>
      <c r="N3" t="n">
        <v>205</v>
      </c>
      <c r="R3" t="n">
        <v>122109</v>
      </c>
      <c r="T3" t="n">
        <v>23.53</v>
      </c>
    </row>
    <row r="4">
      <c r="E4" s="6" t="n"/>
      <c r="F4" s="6" t="n"/>
      <c r="G4" s="6" t="n"/>
      <c r="N4" t="n">
        <v>210</v>
      </c>
      <c r="R4" t="n">
        <v>124773</v>
      </c>
      <c r="T4" t="n">
        <v>22.92</v>
      </c>
    </row>
    <row r="5">
      <c r="E5" s="6" t="n"/>
      <c r="F5" s="6" t="n"/>
      <c r="G5" s="6" t="n"/>
      <c r="N5" t="n">
        <v>215</v>
      </c>
      <c r="R5" t="n">
        <v>126515</v>
      </c>
      <c r="T5" t="n">
        <v>23.07</v>
      </c>
    </row>
    <row r="6">
      <c r="N6" t="n">
        <v>220</v>
      </c>
      <c r="R6" t="n">
        <v>128160</v>
      </c>
      <c r="T6" t="n">
        <v>22</v>
      </c>
    </row>
    <row r="7">
      <c r="N7" t="n">
        <v>225</v>
      </c>
      <c r="R7" t="n">
        <v>130350</v>
      </c>
      <c r="T7" t="n">
        <v>21.17</v>
      </c>
    </row>
    <row r="8">
      <c r="N8" t="n">
        <v>230</v>
      </c>
      <c r="R8" t="n">
        <v>135300</v>
      </c>
      <c r="T8" t="n">
        <v>22.93</v>
      </c>
    </row>
    <row r="9">
      <c r="N9" t="n">
        <v>235</v>
      </c>
      <c r="R9" t="n">
        <v>137850</v>
      </c>
      <c r="T9" t="n">
        <v>22.46</v>
      </c>
    </row>
    <row r="10">
      <c r="N10" t="n">
        <v>240</v>
      </c>
      <c r="R10" t="n">
        <v>140167</v>
      </c>
      <c r="T10" t="n">
        <v>22.98</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tabColor rgb="FF0000FF"/>
    <outlinePr summaryBelow="1" summaryRight="1"/>
    <pageSetUpPr/>
  </sheetPr>
  <dimension ref="A1:Z200"/>
  <sheetViews>
    <sheetView topLeftCell="B1" workbookViewId="0">
      <selection activeCell="B3" sqref="B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V19-29</t>
        </is>
      </c>
      <c r="B2" s="12" t="n">
        <v>-83.56999999999999</v>
      </c>
      <c r="C2" s="12" t="n">
        <v>-3.25</v>
      </c>
      <c r="D2" s="10" t="inlineStr">
        <is>
          <t>Radiolaria</t>
        </is>
      </c>
      <c r="E2" s="6" t="n"/>
      <c r="F2" s="6" t="n"/>
      <c r="G2" s="6" t="n"/>
      <c r="N2" s="25" t="n">
        <v>800</v>
      </c>
      <c r="R2" s="25" t="n">
        <v>117389</v>
      </c>
      <c r="T2" s="25" t="n">
        <v>19.32</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https://www.ncei.noaa.gov/pub/data/paleo/contributions_by_author/pisias1997b/v19-29_sst.ager</t>
        </is>
      </c>
      <c r="Z2" t="n">
        <v>-3159</v>
      </c>
    </row>
    <row r="3">
      <c r="E3" s="6" t="n"/>
      <c r="F3" s="6" t="n"/>
      <c r="G3" s="6" t="n"/>
      <c r="N3" s="25" t="n">
        <v>810</v>
      </c>
      <c r="R3" s="25" t="n">
        <v>120380</v>
      </c>
      <c r="T3" s="25" t="n">
        <v>22.07</v>
      </c>
    </row>
    <row r="4">
      <c r="E4" s="6" t="n"/>
      <c r="F4" s="6" t="n"/>
      <c r="G4" s="6" t="n"/>
      <c r="N4" s="25" t="n">
        <v>820</v>
      </c>
      <c r="R4" s="25" t="n">
        <v>122927</v>
      </c>
      <c r="T4" s="25" t="n">
        <v>21.82</v>
      </c>
    </row>
    <row r="5">
      <c r="E5" s="6" t="n"/>
      <c r="F5" s="6" t="n"/>
      <c r="G5" s="6" t="n"/>
      <c r="N5" s="25" t="n">
        <v>830</v>
      </c>
      <c r="R5" s="25" t="n">
        <v>124422</v>
      </c>
      <c r="T5" s="25" t="n">
        <v>21.32</v>
      </c>
    </row>
    <row r="6">
      <c r="N6" s="25" t="n">
        <v>840</v>
      </c>
      <c r="R6" s="25" t="n">
        <v>125837</v>
      </c>
      <c r="T6" s="25" t="n">
        <v>20.16</v>
      </c>
    </row>
    <row r="7">
      <c r="N7" s="25" t="n">
        <v>850</v>
      </c>
      <c r="R7" s="25" t="n">
        <v>127453</v>
      </c>
      <c r="T7" s="25" t="n">
        <v>21.85</v>
      </c>
    </row>
    <row r="8">
      <c r="N8" s="25" t="n">
        <v>860</v>
      </c>
      <c r="R8" s="25" t="n">
        <v>129052</v>
      </c>
      <c r="T8" s="25" t="n">
        <v>21.54</v>
      </c>
    </row>
    <row r="9">
      <c r="N9" s="25" t="n">
        <v>870</v>
      </c>
      <c r="R9" s="25" t="n">
        <v>130593</v>
      </c>
      <c r="T9" s="25" t="n">
        <v>21.14</v>
      </c>
    </row>
    <row r="10">
      <c r="N10" s="25" t="n">
        <v>890</v>
      </c>
      <c r="R10" s="25" t="n">
        <v>133534</v>
      </c>
      <c r="T10" s="25" t="n">
        <v>18.54</v>
      </c>
    </row>
    <row r="11">
      <c r="N11" s="25" t="n">
        <v>920</v>
      </c>
      <c r="R11" s="25" t="n">
        <v>137546</v>
      </c>
      <c r="T11" s="25" t="n">
        <v>19.65</v>
      </c>
    </row>
    <row r="12">
      <c r="N12" s="25" t="n">
        <v>930</v>
      </c>
      <c r="R12" s="25" t="n">
        <v>138652</v>
      </c>
      <c r="T12" s="25" t="n">
        <v>18.47</v>
      </c>
    </row>
    <row r="13">
      <c r="N13" s="25" t="n">
        <v>940</v>
      </c>
      <c r="R13" s="25" t="n">
        <v>139721</v>
      </c>
      <c r="T13" s="25" t="n">
        <v>18.38</v>
      </c>
    </row>
    <row r="14">
      <c r="N14" s="25" t="n">
        <v>950</v>
      </c>
      <c r="R14" s="25" t="n">
        <v>140857</v>
      </c>
      <c r="T14" s="25" t="n">
        <v>17.98</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6.xml><?xml version="1.0" encoding="utf-8"?>
<worksheet xmlns="http://schemas.openxmlformats.org/spreadsheetml/2006/main">
  <sheetPr>
    <tabColor rgb="FF0000FF"/>
    <outlinePr summaryBelow="1" summaryRight="1"/>
    <pageSetUpPr/>
  </sheetPr>
  <dimension ref="A1:Z200"/>
  <sheetViews>
    <sheetView zoomScale="91" workbookViewId="0">
      <selection activeCell="B3" sqref="B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VNTR1-8</t>
        </is>
      </c>
      <c r="B2" s="12" t="n">
        <v>-110.48</v>
      </c>
      <c r="C2" s="12" t="n">
        <v>0.03</v>
      </c>
      <c r="D2" s="10" t="inlineStr">
        <is>
          <t>Radiolaria</t>
        </is>
      </c>
      <c r="E2" s="6" t="n"/>
      <c r="F2" s="6" t="n"/>
      <c r="G2" s="6" t="n"/>
      <c r="N2" t="n">
        <v>267</v>
      </c>
      <c r="R2" t="n">
        <v>116600</v>
      </c>
      <c r="T2" t="n">
        <v>23.62</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https://www.ncei.noaa.gov/pub/data/paleo/contributions_by_author/pisias1997b/vntr1-8_sst.ager</t>
        </is>
      </c>
      <c r="Z2" t="n">
        <v>-3791</v>
      </c>
    </row>
    <row r="3">
      <c r="E3" s="6" t="n"/>
      <c r="F3" s="6" t="n"/>
      <c r="G3" s="6" t="n"/>
      <c r="N3" t="n">
        <v>272</v>
      </c>
      <c r="R3" t="n">
        <v>119600</v>
      </c>
      <c r="T3" t="n">
        <v>23.65</v>
      </c>
    </row>
    <row r="4">
      <c r="E4" s="6" t="n"/>
      <c r="F4" s="6" t="n"/>
      <c r="G4" s="6" t="n"/>
      <c r="N4" t="n">
        <v>277</v>
      </c>
      <c r="R4" t="n">
        <v>122371</v>
      </c>
      <c r="T4" t="n">
        <v>24.44</v>
      </c>
    </row>
    <row r="5">
      <c r="E5" s="6" t="n"/>
      <c r="F5" s="6" t="n"/>
      <c r="G5" s="6" t="n"/>
      <c r="N5" t="n">
        <v>282</v>
      </c>
      <c r="R5" t="n">
        <v>124229</v>
      </c>
      <c r="T5" t="n">
        <v>23.45</v>
      </c>
    </row>
    <row r="6">
      <c r="N6" t="n">
        <v>287</v>
      </c>
      <c r="R6" t="n">
        <v>126086</v>
      </c>
      <c r="T6" t="n">
        <v>23.89</v>
      </c>
    </row>
    <row r="7">
      <c r="N7" t="n">
        <v>292</v>
      </c>
      <c r="R7" t="n">
        <v>127943</v>
      </c>
      <c r="T7" t="n">
        <v>23.62</v>
      </c>
    </row>
    <row r="8">
      <c r="N8" t="n">
        <v>297</v>
      </c>
      <c r="R8" t="n">
        <v>129800</v>
      </c>
      <c r="T8" t="n">
        <v>24.07</v>
      </c>
    </row>
    <row r="9">
      <c r="N9" t="n">
        <v>302</v>
      </c>
      <c r="R9" t="n">
        <v>131657</v>
      </c>
      <c r="T9" t="n">
        <v>22.93</v>
      </c>
    </row>
    <row r="10">
      <c r="N10" t="n">
        <v>307</v>
      </c>
      <c r="R10" t="n">
        <v>133514</v>
      </c>
      <c r="T10" t="n">
        <v>23.2</v>
      </c>
    </row>
    <row r="11">
      <c r="N11" t="n">
        <v>312</v>
      </c>
      <c r="R11" t="n">
        <v>135271</v>
      </c>
      <c r="T11" t="n">
        <v>22.93</v>
      </c>
    </row>
    <row r="12">
      <c r="N12" t="n">
        <v>317</v>
      </c>
      <c r="R12" t="n">
        <v>136627</v>
      </c>
      <c r="T12" t="n">
        <v>21.96</v>
      </c>
    </row>
    <row r="13">
      <c r="N13" t="n">
        <v>322</v>
      </c>
      <c r="R13" t="n">
        <v>137983</v>
      </c>
      <c r="T13" t="n">
        <v>24.77</v>
      </c>
    </row>
    <row r="14">
      <c r="N14" t="n">
        <v>327</v>
      </c>
      <c r="R14" t="n">
        <v>139339</v>
      </c>
      <c r="T14" t="n">
        <v>23.11</v>
      </c>
    </row>
    <row r="15">
      <c r="N15" t="n">
        <v>332</v>
      </c>
      <c r="R15" t="n">
        <v>140695</v>
      </c>
      <c r="T15" t="n">
        <v>21.99</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tabColor rgb="FF0000FF"/>
    <outlinePr summaryBelow="1" summaryRight="1"/>
    <pageSetUpPr/>
  </sheetPr>
  <dimension ref="A1:Z200"/>
  <sheetViews>
    <sheetView zoomScale="92" workbookViewId="0">
      <selection activeCell="B3" sqref="B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Y69-106P</t>
        </is>
      </c>
      <c r="B2" s="12" t="n">
        <v>-86.55</v>
      </c>
      <c r="C2" s="12" t="n">
        <v>2.98</v>
      </c>
      <c r="D2" s="10" t="inlineStr">
        <is>
          <t>Radiolaria</t>
        </is>
      </c>
      <c r="E2" s="6" t="n"/>
      <c r="F2" s="6" t="n"/>
      <c r="G2" s="6" t="n"/>
      <c r="N2" t="n">
        <v>221</v>
      </c>
      <c r="R2" t="n">
        <v>119553</v>
      </c>
      <c r="T2" t="n">
        <v>24.19</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https://www.ncei.noaa.gov/pub/data/paleo/contributions_by_author/pisias1997b/y69-106p_sst.ager</t>
        </is>
      </c>
      <c r="Z2" t="n">
        <v>-2870</v>
      </c>
    </row>
    <row r="3">
      <c r="E3" s="6" t="n"/>
      <c r="F3" s="6" t="n"/>
      <c r="G3" s="6" t="n"/>
      <c r="N3" t="n">
        <v>231</v>
      </c>
      <c r="R3" t="n">
        <v>122699</v>
      </c>
      <c r="T3" t="n">
        <v>23.7</v>
      </c>
    </row>
    <row r="4">
      <c r="E4" s="6" t="n"/>
      <c r="F4" s="6" t="n"/>
      <c r="G4" s="6" t="n"/>
      <c r="N4" t="n">
        <v>241</v>
      </c>
      <c r="R4" t="n">
        <v>126233</v>
      </c>
      <c r="T4" t="n">
        <v>24.13</v>
      </c>
    </row>
    <row r="5">
      <c r="E5" s="6" t="n"/>
      <c r="F5" s="6" t="n"/>
      <c r="G5" s="6" t="n"/>
      <c r="N5" t="n">
        <v>251</v>
      </c>
      <c r="R5" t="n">
        <v>129864</v>
      </c>
      <c r="T5" t="n">
        <v>25.21</v>
      </c>
    </row>
    <row r="6">
      <c r="N6" t="n">
        <v>262</v>
      </c>
      <c r="R6" t="n">
        <v>135330</v>
      </c>
      <c r="T6" t="n">
        <v>23.77</v>
      </c>
    </row>
    <row r="7">
      <c r="N7" t="n">
        <v>272</v>
      </c>
      <c r="R7" t="n">
        <v>139637</v>
      </c>
      <c r="T7" t="n">
        <v>23.2</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18.xml><?xml version="1.0" encoding="utf-8"?>
<worksheet xmlns="http://schemas.openxmlformats.org/spreadsheetml/2006/main">
  <sheetPr>
    <tabColor rgb="FF0000FF"/>
    <outlinePr summaryBelow="1" summaryRight="1"/>
    <pageSetUpPr/>
  </sheetPr>
  <dimension ref="A1:Z200"/>
  <sheetViews>
    <sheetView zoomScale="62" workbookViewId="0">
      <selection activeCell="B3" sqref="B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Y69-71P</t>
        </is>
      </c>
      <c r="B2" s="12" t="n">
        <v>-86.48</v>
      </c>
      <c r="C2" s="12" t="n">
        <v>0.1</v>
      </c>
      <c r="D2" s="10" t="inlineStr">
        <is>
          <t>Radiolaria</t>
        </is>
      </c>
      <c r="E2" s="6" t="n"/>
      <c r="F2" s="6" t="n"/>
      <c r="G2" s="6" t="n"/>
      <c r="N2" t="n">
        <v>800</v>
      </c>
      <c r="R2" t="n">
        <v>116545</v>
      </c>
      <c r="T2" t="n">
        <v>22.37</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https://www.ncei.noaa.gov/pub/data/paleo/contributions_by_author/pisias1997b/y69-71p_sst.ager</t>
        </is>
      </c>
      <c r="Z2" t="n">
        <v>-2740</v>
      </c>
    </row>
    <row r="3">
      <c r="E3" s="6" t="n"/>
      <c r="F3" s="6" t="n"/>
      <c r="G3" s="6" t="n"/>
      <c r="N3" t="n">
        <v>819</v>
      </c>
      <c r="R3" t="n">
        <v>121588</v>
      </c>
      <c r="T3" t="n">
        <v>22.47</v>
      </c>
    </row>
    <row r="4">
      <c r="E4" s="6" t="n"/>
      <c r="F4" s="6" t="n"/>
      <c r="G4" s="6" t="n"/>
      <c r="N4" t="n">
        <v>839</v>
      </c>
      <c r="R4" t="n">
        <v>125521</v>
      </c>
      <c r="T4" t="n">
        <v>22.58</v>
      </c>
    </row>
    <row r="5">
      <c r="E5" s="6" t="n"/>
      <c r="F5" s="6" t="n"/>
      <c r="G5" s="6" t="n"/>
      <c r="N5" t="n">
        <v>859</v>
      </c>
      <c r="R5" t="n">
        <v>129243</v>
      </c>
      <c r="T5" t="n">
        <v>22.34</v>
      </c>
    </row>
    <row r="6">
      <c r="N6" t="n">
        <v>919</v>
      </c>
      <c r="R6" t="n">
        <v>140317</v>
      </c>
      <c r="T6" t="n">
        <v>19.97</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19.xml><?xml version="1.0" encoding="utf-8"?>
<worksheet xmlns="http://schemas.openxmlformats.org/spreadsheetml/2006/main">
  <sheetPr>
    <tabColor rgb="FF0000FF"/>
    <outlinePr summaryBelow="1" summaryRight="1"/>
    <pageSetUpPr/>
  </sheetPr>
  <dimension ref="A1:Z200"/>
  <sheetViews>
    <sheetView zoomScale="62" workbookViewId="0">
      <selection activeCell="B3" sqref="B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Y71-3-2</t>
        </is>
      </c>
      <c r="B2" s="12" t="n">
        <v>-85.25</v>
      </c>
      <c r="C2" s="12" t="n">
        <v>7.28</v>
      </c>
      <c r="D2" s="10" t="inlineStr">
        <is>
          <t>Radiolaria</t>
        </is>
      </c>
      <c r="E2" s="6" t="n"/>
      <c r="F2" s="6" t="n"/>
      <c r="G2" s="6" t="n"/>
      <c r="N2" t="n">
        <v>370</v>
      </c>
      <c r="R2" t="n">
        <v>118765</v>
      </c>
      <c r="T2" t="n">
        <v>23.3</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https://www.ncei.noaa.gov/pub/data/paleo/contributions_by_author/pisias1997b/y71-3-2_sst.ager</t>
        </is>
      </c>
      <c r="Z2" t="n">
        <v>-2164</v>
      </c>
    </row>
    <row r="3">
      <c r="E3" s="6" t="n"/>
      <c r="F3" s="6" t="n"/>
      <c r="G3" s="6" t="n"/>
      <c r="N3" t="n">
        <v>380</v>
      </c>
      <c r="R3" t="n">
        <v>123622</v>
      </c>
      <c r="T3" t="n">
        <v>23.72</v>
      </c>
    </row>
    <row r="4">
      <c r="E4" s="6" t="n"/>
      <c r="F4" s="6" t="n"/>
      <c r="G4" s="6" t="n"/>
      <c r="N4" t="n">
        <v>390</v>
      </c>
      <c r="R4" t="n">
        <v>127567</v>
      </c>
      <c r="T4" t="n">
        <v>24.25</v>
      </c>
    </row>
    <row r="5">
      <c r="E5" s="6" t="n"/>
      <c r="F5" s="6" t="n"/>
      <c r="G5" s="6" t="n"/>
      <c r="N5" t="n">
        <v>400</v>
      </c>
      <c r="R5" t="n">
        <v>131287</v>
      </c>
      <c r="T5" t="n">
        <v>25.42</v>
      </c>
    </row>
    <row r="6">
      <c r="N6" t="n">
        <v>410</v>
      </c>
      <c r="R6" t="n">
        <v>135058</v>
      </c>
      <c r="T6" t="n">
        <v>24.15</v>
      </c>
    </row>
    <row r="7">
      <c r="N7" t="n">
        <v>420</v>
      </c>
      <c r="R7" t="n">
        <v>139001</v>
      </c>
      <c r="T7" t="n">
        <v>23.73</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20.xml><?xml version="1.0" encoding="utf-8"?>
<worksheet xmlns="http://schemas.openxmlformats.org/spreadsheetml/2006/main">
  <sheetPr>
    <tabColor rgb="FF0000FF"/>
    <outlinePr summaryBelow="1" summaryRight="1"/>
    <pageSetUpPr/>
  </sheetPr>
  <dimension ref="A1:Z200"/>
  <sheetViews>
    <sheetView zoomScale="62" workbookViewId="0">
      <selection activeCell="B3" sqref="B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Y71-9-101</t>
        </is>
      </c>
      <c r="B2" s="12" t="n">
        <v>-106.95</v>
      </c>
      <c r="C2" s="12" t="n">
        <v>-6.63</v>
      </c>
      <c r="D2" s="10" t="inlineStr">
        <is>
          <t>Radiolaria</t>
        </is>
      </c>
      <c r="E2" s="6" t="n"/>
      <c r="F2" s="6" t="n"/>
      <c r="G2" s="6" t="n"/>
      <c r="N2" t="n">
        <v>256</v>
      </c>
      <c r="R2" t="n">
        <v>117696</v>
      </c>
      <c r="T2" t="n">
        <v>22.99</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https://www.ncei.noaa.gov/pub/data/paleo/contributions_by_author/pisias1997b/y71-9-101_sst.ager</t>
        </is>
      </c>
      <c r="Z2" t="n">
        <v>-3175</v>
      </c>
    </row>
    <row r="3">
      <c r="E3" s="6" t="n"/>
      <c r="F3" s="6" t="n"/>
      <c r="G3" s="6" t="n"/>
      <c r="N3" t="n">
        <v>261</v>
      </c>
      <c r="R3" t="n">
        <v>120448</v>
      </c>
      <c r="T3" t="n">
        <v>23.93</v>
      </c>
    </row>
    <row r="4">
      <c r="E4" s="6" t="n"/>
      <c r="F4" s="6" t="n"/>
      <c r="G4" s="6" t="n"/>
      <c r="N4" t="n">
        <v>266</v>
      </c>
      <c r="R4" t="n">
        <v>122583</v>
      </c>
      <c r="T4" t="n">
        <v>23.19</v>
      </c>
    </row>
    <row r="5">
      <c r="E5" s="6" t="n"/>
      <c r="F5" s="6" t="n"/>
      <c r="G5" s="6" t="n"/>
      <c r="N5" t="n">
        <v>271</v>
      </c>
      <c r="R5" t="n">
        <v>124411</v>
      </c>
      <c r="T5" t="n">
        <v>22.54</v>
      </c>
    </row>
    <row r="6">
      <c r="N6" t="n">
        <v>276</v>
      </c>
      <c r="R6" t="n">
        <v>125935</v>
      </c>
      <c r="T6" t="n">
        <v>24.28</v>
      </c>
    </row>
    <row r="7">
      <c r="N7" t="n">
        <v>281</v>
      </c>
      <c r="R7" t="n">
        <v>127500</v>
      </c>
      <c r="T7" t="n">
        <v>23.8</v>
      </c>
    </row>
    <row r="8">
      <c r="N8" t="n">
        <v>286</v>
      </c>
      <c r="R8" t="n">
        <v>129248</v>
      </c>
      <c r="T8" t="n">
        <v>24.03</v>
      </c>
    </row>
    <row r="9">
      <c r="N9" t="n">
        <v>291</v>
      </c>
      <c r="R9" t="n">
        <v>131191</v>
      </c>
      <c r="T9" t="n">
        <v>22.37</v>
      </c>
    </row>
    <row r="10">
      <c r="N10" t="n">
        <v>296</v>
      </c>
      <c r="R10" t="n">
        <v>133409</v>
      </c>
      <c r="T10" t="n">
        <v>21.96</v>
      </c>
    </row>
    <row r="11">
      <c r="N11" t="n">
        <v>306</v>
      </c>
      <c r="R11" t="n">
        <v>138382</v>
      </c>
      <c r="T11" t="n">
        <v>23.09</v>
      </c>
    </row>
    <row r="12">
      <c r="N12" t="n">
        <v>311</v>
      </c>
      <c r="R12" t="n">
        <v>140938</v>
      </c>
      <c r="T12" t="n">
        <v>22.97</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21.xml><?xml version="1.0" encoding="utf-8"?>
<worksheet xmlns="http://schemas.openxmlformats.org/spreadsheetml/2006/main">
  <sheetPr>
    <tabColor rgb="FF0000FF"/>
    <outlinePr summaryBelow="1" summaryRight="1"/>
    <pageSetUpPr/>
  </sheetPr>
  <dimension ref="A1:Z200"/>
  <sheetViews>
    <sheetView zoomScale="62" workbookViewId="0">
      <selection activeCell="B3" sqref="B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Y71-6-12</t>
        </is>
      </c>
      <c r="B2" s="12" t="n">
        <v>-77.56999999999999</v>
      </c>
      <c r="C2" s="12" t="n">
        <v>-16.45</v>
      </c>
      <c r="D2" s="10" t="inlineStr">
        <is>
          <t>Radiolaria</t>
        </is>
      </c>
      <c r="E2" s="6" t="n"/>
      <c r="F2" s="6" t="n"/>
      <c r="G2" s="6" t="n"/>
      <c r="N2" t="n">
        <v>180</v>
      </c>
      <c r="R2" t="n">
        <v>115704</v>
      </c>
      <c r="T2" t="n">
        <v>17.82</v>
      </c>
      <c r="V2" s="6" t="inlineStr">
        <is>
          <t>Pisias, N.G., and A.C. Mix. 1997. Spatial and temporal oceanographic variability of the eastern equatorial Pacific during the late Pleistocene: Evidence from Radiolaria microfossils. Paleoceanography, 12(3), 381-393. doi: 10.1029/97PA00583</t>
        </is>
      </c>
      <c r="W2" s="13" t="inlineStr">
        <is>
          <t>https://www.ncei.noaa.gov/pub/data/paleo/contributions_by_author/pisias1997b/y71-6-12_sst.ager</t>
        </is>
      </c>
      <c r="Z2" t="n">
        <v>-2734</v>
      </c>
    </row>
    <row r="3">
      <c r="E3" s="6" t="n"/>
      <c r="F3" s="6" t="n"/>
      <c r="G3" s="6" t="n"/>
      <c r="N3" t="n">
        <v>185</v>
      </c>
      <c r="R3" t="n">
        <v>120314</v>
      </c>
      <c r="T3" t="n">
        <v>17.91</v>
      </c>
    </row>
    <row r="4">
      <c r="E4" s="6" t="n"/>
      <c r="F4" s="6" t="n"/>
      <c r="G4" s="6" t="n"/>
      <c r="N4" t="n">
        <v>190</v>
      </c>
      <c r="R4" t="n">
        <v>128548</v>
      </c>
      <c r="T4" t="n">
        <v>14.93</v>
      </c>
    </row>
    <row r="5">
      <c r="E5" s="6" t="n"/>
      <c r="F5" s="6" t="n"/>
      <c r="G5" s="6" t="n"/>
      <c r="N5" t="n">
        <v>195</v>
      </c>
      <c r="R5" t="n">
        <v>134348</v>
      </c>
      <c r="T5" t="n">
        <v>14.53</v>
      </c>
    </row>
    <row r="6">
      <c r="N6" t="n">
        <v>200</v>
      </c>
      <c r="R6" t="n">
        <v>137932</v>
      </c>
      <c r="T6" t="n">
        <v>14.97</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pageMargins left="0.75" right="0.75" top="1" bottom="1" header="0.5" footer="0.5"/>
  <pageSetup orientation="portrait" horizontalDpi="4294967292" verticalDpi="4294967292"/>
</worksheet>
</file>

<file path=xl/worksheets/sheet22.xml><?xml version="1.0" encoding="utf-8"?>
<worksheet xmlns="http://schemas.openxmlformats.org/spreadsheetml/2006/main">
  <sheetPr>
    <tabColor rgb="FF0000FF"/>
    <outlinePr summaryBelow="1" summaryRight="1"/>
    <pageSetUpPr/>
  </sheetPr>
  <dimension ref="A1:Z200"/>
  <sheetViews>
    <sheetView topLeftCell="C1" zoomScale="70" workbookViewId="0">
      <selection activeCell="S15" sqref="S15"/>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ODP1239</t>
        </is>
      </c>
      <c r="B2" s="12" t="n">
        <v>-82.08083000000001</v>
      </c>
      <c r="C2" s="12" t="n">
        <v>-0.672</v>
      </c>
      <c r="D2" s="10" t="inlineStr">
        <is>
          <t>UK37</t>
        </is>
      </c>
      <c r="E2" s="6" t="n"/>
      <c r="F2" s="6" t="n"/>
      <c r="G2" s="6" t="n"/>
      <c r="L2" t="n">
        <v>3.3</v>
      </c>
      <c r="M2" t="n">
        <v>3.65</v>
      </c>
      <c r="Q2" s="1" t="n"/>
      <c r="R2" t="n">
        <v>115290</v>
      </c>
      <c r="T2" t="n">
        <v>26.45</v>
      </c>
      <c r="V2" s="6" t="inlineStr">
        <is>
          <t>Dyez, K.A., A.C. Ravelo, and A.C. Mix. 2016. Evaluating drivers of Pleistocene eastern tropical Pacific sea surface temperature. Paleoceanography, 31. doi: 10.1002/2015PA002873</t>
        </is>
      </c>
      <c r="W2" s="13" t="inlineStr">
        <is>
          <t>https://www.ncei.noaa.gov/pub/data/paleo/contributions_by_author/dyez2016/dyez2016-sst-merge.txt</t>
        </is>
      </c>
      <c r="X2" s="6" t="inlineStr">
        <is>
          <t>derived from alignment of benthic d18O with global LR04 stack</t>
        </is>
      </c>
      <c r="Y2" s="6" t="inlineStr">
        <is>
          <t>Stack is a synthesis of multiple studies.
SST derived from Uk'37 using Müller et al., 1998 calibration SST = (Uk'37 - 0.044) / 0.033
d18O: average of Uvigerina and Cibicidoides d18O, after Cibicidoides value was corrected for species offset</t>
        </is>
      </c>
      <c r="Z2" t="n">
        <v>-1414</v>
      </c>
    </row>
    <row r="3">
      <c r="E3" s="6" t="n"/>
      <c r="F3" s="6" t="n"/>
      <c r="G3" s="6" t="n"/>
      <c r="L3" t="n">
        <v>3.45</v>
      </c>
      <c r="M3" t="n">
        <v>3.43</v>
      </c>
      <c r="Q3" s="1" t="n"/>
      <c r="R3" t="n">
        <v>115830</v>
      </c>
      <c r="T3" t="n">
        <v>26.48</v>
      </c>
    </row>
    <row r="4">
      <c r="E4" s="6" t="n"/>
      <c r="F4" s="6" t="n"/>
      <c r="G4" s="6" t="n"/>
      <c r="L4" t="n">
        <v>3.53</v>
      </c>
      <c r="M4" t="n">
        <v>4.39</v>
      </c>
      <c r="Q4" s="1" t="n"/>
      <c r="R4" t="n">
        <v>116630</v>
      </c>
      <c r="T4" t="n">
        <v>26.55</v>
      </c>
    </row>
    <row r="5">
      <c r="E5" s="6" t="n"/>
      <c r="F5" s="6" t="n"/>
      <c r="G5" s="6" t="n"/>
      <c r="L5" t="n">
        <v>3.61</v>
      </c>
      <c r="M5" t="n">
        <v>4.08</v>
      </c>
      <c r="Q5" s="1" t="n"/>
      <c r="R5" t="n">
        <v>117170</v>
      </c>
      <c r="T5" t="n">
        <v>26.45</v>
      </c>
    </row>
    <row r="6">
      <c r="L6" t="n">
        <v>3.69</v>
      </c>
      <c r="M6" t="n">
        <v>3.25</v>
      </c>
      <c r="Q6" s="1" t="n"/>
      <c r="R6" t="n">
        <v>117710</v>
      </c>
      <c r="T6" t="n">
        <v>26.48</v>
      </c>
    </row>
    <row r="7">
      <c r="L7" t="n">
        <v>3.77</v>
      </c>
      <c r="M7" t="n">
        <v>3.91</v>
      </c>
      <c r="Q7" s="1" t="n"/>
      <c r="R7" t="n">
        <v>118250</v>
      </c>
      <c r="T7" t="n">
        <v>26.55</v>
      </c>
    </row>
    <row r="8">
      <c r="L8" t="n">
        <v>3.85</v>
      </c>
      <c r="M8" t="n">
        <v>4.47</v>
      </c>
      <c r="Q8" s="1" t="n"/>
      <c r="R8" t="n">
        <v>118790</v>
      </c>
      <c r="T8" t="n">
        <v>26.42</v>
      </c>
    </row>
    <row r="9">
      <c r="L9" t="n">
        <v>3.93</v>
      </c>
      <c r="M9" t="n">
        <v>4.72</v>
      </c>
      <c r="Q9" s="1" t="n"/>
      <c r="R9" t="n">
        <v>118930</v>
      </c>
      <c r="T9" t="n">
        <v>25.35</v>
      </c>
    </row>
    <row r="10">
      <c r="L10" t="n">
        <v>4.01</v>
      </c>
      <c r="M10" t="n">
        <v>4.31</v>
      </c>
      <c r="Q10" s="1" t="n"/>
      <c r="R10" t="n">
        <v>119330</v>
      </c>
      <c r="T10" t="n">
        <v>26.58</v>
      </c>
    </row>
    <row r="11">
      <c r="L11" t="n">
        <v>4.09</v>
      </c>
      <c r="M11" t="n">
        <v>4.63</v>
      </c>
      <c r="Q11" s="1" t="n"/>
      <c r="R11" t="n">
        <v>119870</v>
      </c>
      <c r="T11" t="n">
        <v>26.52</v>
      </c>
    </row>
    <row r="12">
      <c r="Q12" s="1" t="n"/>
      <c r="R12" t="n">
        <v>120410</v>
      </c>
      <c r="T12" t="n">
        <v>26.64</v>
      </c>
    </row>
    <row r="13">
      <c r="Q13" s="1" t="n"/>
      <c r="R13" t="n">
        <v>120950</v>
      </c>
      <c r="T13" t="n">
        <v>26.55</v>
      </c>
    </row>
    <row r="14">
      <c r="Q14" s="1" t="n"/>
      <c r="R14" t="n">
        <v>121090</v>
      </c>
      <c r="T14" t="n">
        <v>25.72</v>
      </c>
    </row>
    <row r="15">
      <c r="Q15" s="1" t="n"/>
      <c r="R15" t="n">
        <v>121490</v>
      </c>
      <c r="T15" t="n">
        <v>26.55</v>
      </c>
    </row>
    <row r="16">
      <c r="Q16" s="1" t="n"/>
      <c r="R16" t="n">
        <v>122030</v>
      </c>
      <c r="T16" t="n">
        <v>26.52</v>
      </c>
    </row>
    <row r="17">
      <c r="Q17" s="1" t="n"/>
      <c r="R17" t="n">
        <v>122570</v>
      </c>
      <c r="T17" t="n">
        <v>26.55</v>
      </c>
    </row>
    <row r="18">
      <c r="Q18" s="1" t="n"/>
      <c r="R18" t="n">
        <v>123110</v>
      </c>
      <c r="T18" t="n">
        <v>26.61</v>
      </c>
    </row>
    <row r="19">
      <c r="Q19" s="1" t="n"/>
      <c r="R19" t="n">
        <v>123250</v>
      </c>
      <c r="T19" t="n">
        <v>26.15</v>
      </c>
    </row>
    <row r="20">
      <c r="Q20" s="1" t="n"/>
      <c r="R20" t="n">
        <v>123650</v>
      </c>
      <c r="T20" t="n">
        <v>26.55</v>
      </c>
    </row>
    <row r="21">
      <c r="Q21" s="1" t="n"/>
      <c r="R21" t="n">
        <v>124190</v>
      </c>
      <c r="T21" t="n">
        <v>26.64</v>
      </c>
    </row>
    <row r="22">
      <c r="Q22" s="1" t="n"/>
      <c r="R22" t="n">
        <v>124730</v>
      </c>
      <c r="T22" t="n">
        <v>26.67</v>
      </c>
    </row>
    <row r="23">
      <c r="Q23" s="1" t="n"/>
      <c r="R23" t="n">
        <v>125390</v>
      </c>
      <c r="T23" t="n">
        <v>26.61</v>
      </c>
    </row>
    <row r="24">
      <c r="Q24" s="1" t="n"/>
      <c r="R24" t="n">
        <v>125580</v>
      </c>
      <c r="T24" t="n">
        <v>26.1</v>
      </c>
    </row>
    <row r="25">
      <c r="Q25" s="1" t="n"/>
      <c r="R25" t="n">
        <v>126160</v>
      </c>
      <c r="T25" t="n">
        <v>26.64</v>
      </c>
    </row>
    <row r="26">
      <c r="Q26" s="1" t="n"/>
      <c r="R26" t="n">
        <v>126940</v>
      </c>
      <c r="T26" t="n">
        <v>26.55</v>
      </c>
    </row>
    <row r="27">
      <c r="Q27" s="1" t="n"/>
      <c r="R27" t="n">
        <v>127710</v>
      </c>
      <c r="T27" t="n">
        <v>26.58</v>
      </c>
    </row>
    <row r="28">
      <c r="Q28" s="1" t="n"/>
      <c r="R28" t="n">
        <v>128490</v>
      </c>
      <c r="T28" t="n">
        <v>26.64</v>
      </c>
    </row>
    <row r="29">
      <c r="Q29" s="1" t="n"/>
      <c r="R29" t="n">
        <v>128680</v>
      </c>
      <c r="T29" t="n">
        <v>26.2</v>
      </c>
    </row>
    <row r="30">
      <c r="Q30" s="1" t="n"/>
      <c r="R30" t="n">
        <v>129260</v>
      </c>
      <c r="T30" t="n">
        <v>26.58</v>
      </c>
    </row>
    <row r="31">
      <c r="Q31" s="1" t="n"/>
      <c r="R31" t="n">
        <v>130040</v>
      </c>
      <c r="T31" t="n">
        <v>26.58</v>
      </c>
    </row>
    <row r="32">
      <c r="Q32" s="1" t="n"/>
      <c r="R32" t="n">
        <v>131590</v>
      </c>
      <c r="T32" t="n">
        <v>26.39</v>
      </c>
    </row>
    <row r="33">
      <c r="Q33" s="1" t="n"/>
      <c r="R33" t="n">
        <v>131780</v>
      </c>
      <c r="T33" t="n">
        <v>26.54</v>
      </c>
    </row>
    <row r="34">
      <c r="Q34" s="1" t="n"/>
      <c r="R34" t="n">
        <v>133140</v>
      </c>
      <c r="T34" t="n">
        <v>25.91</v>
      </c>
    </row>
    <row r="35">
      <c r="Q35" s="1" t="n"/>
      <c r="R35" t="n">
        <v>134690</v>
      </c>
      <c r="T35" t="n">
        <v>25.42</v>
      </c>
    </row>
    <row r="36">
      <c r="Q36" s="1" t="n"/>
      <c r="R36" t="n">
        <v>136240</v>
      </c>
      <c r="T36" t="n">
        <v>25.24</v>
      </c>
    </row>
    <row r="37">
      <c r="Q37" s="1" t="n"/>
      <c r="R37" t="n">
        <v>137010</v>
      </c>
      <c r="T37" t="n">
        <v>25.3</v>
      </c>
    </row>
    <row r="38">
      <c r="Q38" s="1" t="n"/>
      <c r="R38" t="n">
        <v>137790</v>
      </c>
      <c r="T38" t="n">
        <v>25.12</v>
      </c>
    </row>
    <row r="39">
      <c r="Q39" s="1" t="n"/>
      <c r="R39" t="n">
        <v>137980</v>
      </c>
      <c r="T39" t="n">
        <v>25.14</v>
      </c>
    </row>
    <row r="40">
      <c r="Q40" s="1" t="n"/>
      <c r="R40" t="n">
        <v>139340</v>
      </c>
      <c r="T40" t="n">
        <v>25.73</v>
      </c>
    </row>
    <row r="41">
      <c r="Q41" s="1" t="n"/>
      <c r="R41" t="n">
        <v>140890</v>
      </c>
      <c r="T41" t="n">
        <v>25.33</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23.xml><?xml version="1.0" encoding="utf-8"?>
<worksheet xmlns="http://schemas.openxmlformats.org/spreadsheetml/2006/main">
  <sheetPr>
    <tabColor theme="6"/>
    <outlinePr summaryBelow="1" summaryRight="1"/>
    <pageSetUpPr/>
  </sheetPr>
  <dimension ref="A1:Z200"/>
  <sheetViews>
    <sheetView topLeftCell="M1" zoomScale="66" workbookViewId="0">
      <selection activeCell="N13" sqref="N1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NH22P</t>
        </is>
      </c>
      <c r="B2" s="12" t="n">
        <v>-106.52</v>
      </c>
      <c r="C2" s="12" t="n">
        <v>22.52</v>
      </c>
      <c r="D2" s="10" t="inlineStr">
        <is>
          <t>UK37</t>
        </is>
      </c>
      <c r="E2" s="6" t="n"/>
      <c r="F2" s="6" t="n"/>
      <c r="G2" s="6" t="n"/>
      <c r="N2" t="n">
        <v>535.5</v>
      </c>
      <c r="O2" t="n">
        <v>0.852</v>
      </c>
      <c r="R2" t="n">
        <v>115140</v>
      </c>
      <c r="S2" s="1" t="n">
        <v>17.85</v>
      </c>
      <c r="T2" t="n">
        <v>23.95</v>
      </c>
      <c r="U2" s="1" t="n">
        <v>32.87</v>
      </c>
      <c r="V2" s="6" t="inlineStr">
        <is>
          <t>Meegan Kumar, Dervla; Tierney, Jessica E.; Bhattacharya, Tripti; Zhu, Jiang; Murray, James W. 2022. Glacial warming in the Eastern Pacific Warm Pool. Geophysical Research Letters, 49(10), e2022GL098830. doi: 10.1029/2022GL098830</t>
        </is>
      </c>
      <c r="W2" s="13" t="inlineStr">
        <is>
          <t>https://www.ncei.noaa.gov/pub/data/paleo/reconstructions/kumar2022/nh22p_kumar2022.txt</t>
        </is>
      </c>
      <c r="X2" s="6" t="inlineStr">
        <is>
          <t>Chronology more recent than ~54000 ka calibrated to Marine20 curve. Before ~54 ka, calibrated according to correlation to Lisiecki et al. 2005</t>
        </is>
      </c>
      <c r="Y2" s="6" t="inlineStr">
        <is>
          <t>Uk37: gas chromatography - flame ionization detection</t>
        </is>
      </c>
      <c r="Z2" t="n">
        <v>-2025</v>
      </c>
    </row>
    <row r="3">
      <c r="E3" s="6" t="n"/>
      <c r="F3" s="6" t="n"/>
      <c r="G3" s="6" t="n"/>
      <c r="N3" t="n">
        <v>539.5</v>
      </c>
      <c r="O3" t="n">
        <v>0.839</v>
      </c>
      <c r="R3" t="n">
        <v>116787</v>
      </c>
      <c r="S3" s="1" t="n">
        <v>17.64</v>
      </c>
      <c r="T3" t="n">
        <v>23.46</v>
      </c>
      <c r="U3" s="1" t="n">
        <v>31.26</v>
      </c>
    </row>
    <row r="4">
      <c r="E4" s="6" t="n"/>
      <c r="F4" s="6" t="n"/>
      <c r="G4" s="6" t="n"/>
      <c r="N4" t="n">
        <v>543.5</v>
      </c>
      <c r="O4" t="n">
        <v>0.836</v>
      </c>
      <c r="R4" t="n">
        <v>118411</v>
      </c>
      <c r="S4" s="1" t="n">
        <v>17.53</v>
      </c>
      <c r="T4" t="n">
        <v>23.37</v>
      </c>
      <c r="U4" s="1" t="n">
        <v>30.99</v>
      </c>
    </row>
    <row r="5">
      <c r="E5" s="6" t="n"/>
      <c r="F5" s="6" t="n"/>
      <c r="G5" s="6" t="n"/>
      <c r="N5" t="n">
        <v>546.5</v>
      </c>
      <c r="O5" t="n">
        <v>0.824</v>
      </c>
      <c r="R5" t="n">
        <v>119569</v>
      </c>
      <c r="S5" s="1" t="n">
        <v>17.24</v>
      </c>
      <c r="T5" t="n">
        <v>22.96</v>
      </c>
      <c r="U5" s="1" t="n">
        <v>30.06</v>
      </c>
    </row>
    <row r="6">
      <c r="N6" t="n">
        <v>561.5</v>
      </c>
      <c r="O6" t="n">
        <v>0.832</v>
      </c>
      <c r="R6" t="n">
        <v>123259</v>
      </c>
      <c r="S6" s="1" t="n">
        <v>17.33</v>
      </c>
      <c r="T6" t="n">
        <v>23.23</v>
      </c>
      <c r="U6" s="1" t="n">
        <v>30.83</v>
      </c>
    </row>
    <row r="7">
      <c r="N7" t="n">
        <v>565.5</v>
      </c>
      <c r="O7" t="n">
        <v>0.8149999999999999</v>
      </c>
      <c r="R7" t="n">
        <v>124280</v>
      </c>
      <c r="S7" s="1" t="n">
        <v>16.94</v>
      </c>
      <c r="T7" t="n">
        <v>22.66</v>
      </c>
      <c r="U7" s="1" t="n">
        <v>29.42</v>
      </c>
    </row>
    <row r="8">
      <c r="N8" t="n">
        <v>569.5</v>
      </c>
      <c r="O8" t="n">
        <v>0.794</v>
      </c>
      <c r="R8" t="n">
        <v>125279</v>
      </c>
      <c r="S8" s="1" t="n">
        <v>16.31</v>
      </c>
      <c r="T8" t="n">
        <v>21.99</v>
      </c>
      <c r="U8" s="1" t="n">
        <v>28.33</v>
      </c>
    </row>
    <row r="9">
      <c r="N9" t="n">
        <v>575.5</v>
      </c>
      <c r="O9" t="n">
        <v>0.781</v>
      </c>
      <c r="R9" t="n">
        <v>126780</v>
      </c>
      <c r="S9" s="1" t="n">
        <v>15.9</v>
      </c>
      <c r="T9" t="n">
        <v>21.58</v>
      </c>
      <c r="U9" s="1" t="n">
        <v>27.64</v>
      </c>
    </row>
    <row r="10">
      <c r="N10" t="n">
        <v>578.5</v>
      </c>
      <c r="O10" t="n">
        <v>0.778</v>
      </c>
      <c r="R10" t="n">
        <v>127503</v>
      </c>
      <c r="S10" s="1" t="n">
        <v>15.79</v>
      </c>
      <c r="T10" t="n">
        <v>21.49</v>
      </c>
      <c r="U10" s="1" t="n">
        <v>27.49</v>
      </c>
    </row>
    <row r="11">
      <c r="N11" t="n">
        <v>580.5</v>
      </c>
      <c r="O11" t="n">
        <v>0.767</v>
      </c>
      <c r="R11" t="n">
        <v>127985</v>
      </c>
      <c r="S11" s="1" t="n">
        <v>15.52</v>
      </c>
      <c r="T11" t="n">
        <v>21.18</v>
      </c>
      <c r="U11" s="1" t="n">
        <v>27.02</v>
      </c>
    </row>
    <row r="12">
      <c r="N12" t="n">
        <v>582.5</v>
      </c>
      <c r="O12" t="n">
        <v>0.754</v>
      </c>
      <c r="R12" t="n">
        <v>128463</v>
      </c>
      <c r="S12" s="1" t="n">
        <v>15.12</v>
      </c>
      <c r="T12" t="n">
        <v>20.76</v>
      </c>
      <c r="U12" s="1" t="n">
        <v>26.66</v>
      </c>
    </row>
    <row r="13">
      <c r="N13" t="n">
        <v>585.5</v>
      </c>
      <c r="O13" t="n">
        <v>0.75</v>
      </c>
      <c r="R13" t="n">
        <v>129173</v>
      </c>
      <c r="S13" s="1" t="n">
        <v>15.02</v>
      </c>
      <c r="T13" t="n">
        <v>20.64</v>
      </c>
      <c r="U13" s="1" t="n">
        <v>26.54</v>
      </c>
    </row>
    <row r="14">
      <c r="N14" t="n">
        <v>587.5</v>
      </c>
      <c r="O14" t="n">
        <v>0.764</v>
      </c>
      <c r="R14" t="n">
        <v>129660</v>
      </c>
      <c r="S14" s="1" t="n">
        <v>15.34</v>
      </c>
      <c r="T14" t="n">
        <v>21.08</v>
      </c>
      <c r="U14" s="1" t="n">
        <v>26.94</v>
      </c>
    </row>
    <row r="15">
      <c r="N15" t="n">
        <v>590.5</v>
      </c>
      <c r="O15" t="n">
        <v>0.751</v>
      </c>
      <c r="R15" t="n">
        <v>130333</v>
      </c>
      <c r="S15" s="1" t="n">
        <v>15</v>
      </c>
      <c r="T15" t="n">
        <v>20.68</v>
      </c>
      <c r="U15" s="1" t="n">
        <v>26.48</v>
      </c>
    </row>
    <row r="16">
      <c r="N16" t="n">
        <v>594.5</v>
      </c>
      <c r="O16" t="n">
        <v>0.749</v>
      </c>
      <c r="R16" t="n">
        <v>131230</v>
      </c>
      <c r="S16" s="1" t="n">
        <v>14.89</v>
      </c>
      <c r="T16" t="n">
        <v>20.61</v>
      </c>
      <c r="U16" s="1" t="n">
        <v>26.41</v>
      </c>
    </row>
    <row r="17">
      <c r="N17" t="n">
        <v>600.5</v>
      </c>
      <c r="O17" t="n">
        <v>0.734</v>
      </c>
      <c r="R17" t="n">
        <v>132521</v>
      </c>
      <c r="S17" s="1" t="n">
        <v>14.44</v>
      </c>
      <c r="T17" t="n">
        <v>20.16</v>
      </c>
      <c r="U17" s="1" t="n">
        <v>25.84</v>
      </c>
    </row>
    <row r="18">
      <c r="N18" t="n">
        <v>603.5</v>
      </c>
      <c r="O18" t="n">
        <v>0.74</v>
      </c>
      <c r="R18" t="n">
        <v>133158</v>
      </c>
      <c r="S18" s="1" t="n">
        <v>14.65</v>
      </c>
      <c r="T18" t="n">
        <v>20.35</v>
      </c>
      <c r="U18" s="1" t="n">
        <v>26.13</v>
      </c>
    </row>
    <row r="19">
      <c r="N19" t="n">
        <v>607.5</v>
      </c>
      <c r="O19" t="n">
        <v>0.742</v>
      </c>
      <c r="R19" t="n">
        <v>133999</v>
      </c>
      <c r="S19" s="1" t="n">
        <v>14.69</v>
      </c>
      <c r="T19" t="n">
        <v>20.39</v>
      </c>
      <c r="U19" s="1" t="n">
        <v>26.15</v>
      </c>
    </row>
    <row r="20">
      <c r="N20" t="n">
        <v>610.5</v>
      </c>
      <c r="O20" t="n">
        <v>0.757</v>
      </c>
      <c r="R20" t="n">
        <v>134589</v>
      </c>
      <c r="S20" s="1" t="n">
        <v>15.2</v>
      </c>
      <c r="T20" t="n">
        <v>20.86</v>
      </c>
      <c r="U20" s="1" t="n">
        <v>26.68</v>
      </c>
    </row>
    <row r="21">
      <c r="N21" t="n">
        <v>615.5</v>
      </c>
      <c r="O21" t="n">
        <v>0.767</v>
      </c>
      <c r="R21" t="n">
        <v>135558</v>
      </c>
      <c r="S21" s="1" t="n">
        <v>15.46</v>
      </c>
      <c r="T21" t="n">
        <v>21.16</v>
      </c>
      <c r="U21" s="1" t="n">
        <v>27.04</v>
      </c>
    </row>
    <row r="22">
      <c r="N22" t="n">
        <v>620.5</v>
      </c>
      <c r="O22" t="n">
        <v>0.76</v>
      </c>
      <c r="R22" t="n">
        <v>136542</v>
      </c>
      <c r="S22" s="1" t="n">
        <v>15.27</v>
      </c>
      <c r="T22" t="n">
        <v>20.95</v>
      </c>
      <c r="U22" s="1" t="n">
        <v>26.79</v>
      </c>
    </row>
    <row r="23">
      <c r="N23" t="n">
        <v>624.5</v>
      </c>
      <c r="O23" t="n">
        <v>0.792</v>
      </c>
      <c r="R23" t="n">
        <v>137329</v>
      </c>
      <c r="S23" s="1" t="n">
        <v>16.22</v>
      </c>
      <c r="T23" t="n">
        <v>21.94</v>
      </c>
      <c r="U23" s="1" t="n">
        <v>28.1</v>
      </c>
    </row>
    <row r="24">
      <c r="N24" t="n">
        <v>630.5</v>
      </c>
      <c r="O24" t="n">
        <v>0.77</v>
      </c>
      <c r="R24" t="n">
        <v>138522</v>
      </c>
      <c r="S24" s="1" t="n">
        <v>15.54</v>
      </c>
      <c r="T24" t="n">
        <v>21.24</v>
      </c>
      <c r="U24" s="1" t="n">
        <v>27.16</v>
      </c>
    </row>
    <row r="25">
      <c r="N25" t="n">
        <v>634.5</v>
      </c>
      <c r="O25" t="n">
        <v>0.779</v>
      </c>
      <c r="R25" t="n">
        <v>139295</v>
      </c>
      <c r="S25" s="1" t="n">
        <v>15.83</v>
      </c>
      <c r="T25" t="n">
        <v>21.53</v>
      </c>
      <c r="U25" s="1" t="n">
        <v>27.51</v>
      </c>
    </row>
    <row r="26">
      <c r="N26" t="n">
        <v>640.5</v>
      </c>
      <c r="O26" t="n">
        <v>0.774</v>
      </c>
      <c r="R26" t="n">
        <v>140475</v>
      </c>
      <c r="S26" s="1" t="n">
        <v>15.66</v>
      </c>
      <c r="T26" t="n">
        <v>21.4</v>
      </c>
      <c r="U26" s="1" t="n">
        <v>27.36</v>
      </c>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24.xml><?xml version="1.0" encoding="utf-8"?>
<worksheet xmlns="http://schemas.openxmlformats.org/spreadsheetml/2006/main">
  <sheetPr>
    <tabColor theme="6"/>
    <outlinePr summaryBelow="1" summaryRight="1"/>
    <pageSetUpPr/>
  </sheetPr>
  <dimension ref="A1:Z200"/>
  <sheetViews>
    <sheetView topLeftCell="Q1" workbookViewId="0">
      <selection activeCell="W2" sqref="W2"/>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TR163-19</t>
        </is>
      </c>
      <c r="B2" s="12" t="n">
        <v>-90.95</v>
      </c>
      <c r="C2" s="12" t="n">
        <v>2.25</v>
      </c>
      <c r="D2" s="10" t="inlineStr">
        <is>
          <t>MgCa</t>
        </is>
      </c>
      <c r="E2" s="6" t="n"/>
      <c r="F2" s="6" t="n"/>
      <c r="G2" s="6" t="n"/>
      <c r="N2" t="n">
        <v>374</v>
      </c>
      <c r="O2" t="n">
        <v>2.698</v>
      </c>
      <c r="P2" s="6" t="n">
        <v>24.8</v>
      </c>
      <c r="R2" t="n">
        <v>116400</v>
      </c>
      <c r="S2" s="1">
        <f>T2-0.6</f>
        <v/>
      </c>
      <c r="T2" s="6" t="n">
        <v>24.8</v>
      </c>
      <c r="U2" s="1">
        <f> T2+0.6</f>
        <v/>
      </c>
      <c r="V2" s="13" t="inlineStr">
        <is>
          <t>Lea, D.W. 2004. The 100,000 year cycle in tropical SST, greenhouse forcing, and climate sensitivity. Journal of Climate, 17(11), 2170-2179. doi: 10.1175/1520-0442(2004)017&lt;2170:TYCITS&gt;2.0.CO;2</t>
        </is>
      </c>
      <c r="W2" s="13" t="inlineStr">
        <is>
          <t>https://www.ncei.noaa.gov/pub/data/paleo/contributions_by_author/lea2004/lea2004.txt</t>
        </is>
      </c>
      <c r="X2" s="6" t="inlineStr">
        <is>
          <t xml:space="preserve">Conversion of core depth to age is based on the 
timescale for core V19-30 in Shackleton (2000). 
Benthic O18 from TR163-19 was tied to V19-30 O18. 
A calibrated radiocarbon age was used for the core-top only. </t>
        </is>
      </c>
      <c r="Y2" s="6" t="inlineStr">
        <is>
          <t>Cocos Ridge, Eastern tropical Pacific, foraminiferal Mg/Ca and SST reconstruction.
Mg/Ca data on cleaned G. ruber shells by ICP-MS, 417 individual data points 
from Lea et al. 2000, and 76 new data points from 39 depth intervals, 
total data points 493, total depth intervals 208. 
SST estimates based on depth/basin-corrected calibration in Dekens et al., 2002: 
SST(deg C) = LN((Mg/Ca-m)/0.38)/0.09+0.61*2.348+1.6
Data precision: Mg/Ca, ±2.1%; SST (est.), ±0.6°C</t>
        </is>
      </c>
      <c r="Z2" t="n">
        <v>-2348</v>
      </c>
    </row>
    <row r="3">
      <c r="E3" s="6" t="n"/>
      <c r="F3" s="6" t="n"/>
      <c r="G3" s="6" t="n"/>
      <c r="N3" t="n">
        <v>379</v>
      </c>
      <c r="O3" t="n">
        <v>3.13</v>
      </c>
      <c r="P3" s="6" t="n">
        <v>26.5</v>
      </c>
      <c r="R3" t="n">
        <v>119000</v>
      </c>
      <c r="S3" s="1">
        <f>T3-0.6</f>
        <v/>
      </c>
      <c r="T3" s="6" t="n">
        <v>26.5</v>
      </c>
      <c r="U3" s="1">
        <f> T3+0.6</f>
        <v/>
      </c>
    </row>
    <row r="4">
      <c r="E4" s="6" t="n"/>
      <c r="F4" s="6" t="n"/>
      <c r="G4" s="6" t="n"/>
      <c r="N4" t="n">
        <v>384</v>
      </c>
      <c r="O4" t="n">
        <v>3.091</v>
      </c>
      <c r="P4" s="6" t="n">
        <v>26.3</v>
      </c>
      <c r="R4" t="n">
        <v>121500</v>
      </c>
      <c r="S4" s="1">
        <f>T4-0.6</f>
        <v/>
      </c>
      <c r="T4" s="6" t="n">
        <v>26.3</v>
      </c>
      <c r="U4" s="1">
        <f> T4+0.6</f>
        <v/>
      </c>
    </row>
    <row r="5">
      <c r="E5" s="6" t="n"/>
      <c r="F5" s="6" t="n"/>
      <c r="G5" s="6" t="n"/>
      <c r="N5" t="n">
        <v>389</v>
      </c>
      <c r="O5" t="n">
        <v>3.385</v>
      </c>
      <c r="P5" s="6" t="n">
        <v>27.3</v>
      </c>
      <c r="R5" t="n">
        <v>124000</v>
      </c>
      <c r="S5" s="1">
        <f>T5-0.6</f>
        <v/>
      </c>
      <c r="T5" s="6" t="n">
        <v>27.3</v>
      </c>
      <c r="U5" s="1">
        <f> T5+0.6</f>
        <v/>
      </c>
    </row>
    <row r="6">
      <c r="N6" t="n">
        <v>394</v>
      </c>
      <c r="O6" t="n">
        <v>3.59</v>
      </c>
      <c r="P6" s="6" t="n">
        <v>28</v>
      </c>
      <c r="R6" t="n">
        <v>125400</v>
      </c>
      <c r="S6" s="1">
        <f>T6-0.6</f>
        <v/>
      </c>
      <c r="T6" s="6" t="n">
        <v>28</v>
      </c>
      <c r="U6" s="1">
        <f> T6+0.6</f>
        <v/>
      </c>
    </row>
    <row r="7">
      <c r="N7" t="n">
        <v>399</v>
      </c>
      <c r="O7" t="n">
        <v>3.621</v>
      </c>
      <c r="P7" s="6" t="n">
        <v>28.1</v>
      </c>
      <c r="Q7" s="1" t="n"/>
      <c r="R7" t="n">
        <v>126800</v>
      </c>
      <c r="S7" s="1">
        <f>T7-0.6</f>
        <v/>
      </c>
      <c r="T7" s="6" t="n">
        <v>28.1</v>
      </c>
      <c r="U7" s="1">
        <f> T7+0.6</f>
        <v/>
      </c>
    </row>
    <row r="8" ht="17" customHeight="1" s="29">
      <c r="M8" s="18" t="n"/>
      <c r="N8" t="n">
        <v>404</v>
      </c>
      <c r="O8" t="n">
        <v>3.614</v>
      </c>
      <c r="P8" s="6" t="n">
        <v>28.1</v>
      </c>
      <c r="R8" t="n">
        <v>128200</v>
      </c>
      <c r="S8" s="1">
        <f>T8-0.6</f>
        <v/>
      </c>
      <c r="T8" s="6" t="n">
        <v>28.1</v>
      </c>
      <c r="U8" s="1">
        <f> T8+0.6</f>
        <v/>
      </c>
    </row>
    <row r="9">
      <c r="M9" s="17" t="n"/>
      <c r="N9" t="n">
        <v>409</v>
      </c>
      <c r="O9" t="n">
        <v>3.158</v>
      </c>
      <c r="P9" s="6" t="n">
        <v>26.6</v>
      </c>
      <c r="R9" t="n">
        <v>129600</v>
      </c>
      <c r="S9" s="1">
        <f>T9-0.6</f>
        <v/>
      </c>
      <c r="T9" s="6" t="n">
        <v>26.6</v>
      </c>
      <c r="U9" s="1">
        <f> T9+0.6</f>
        <v/>
      </c>
    </row>
    <row r="10">
      <c r="M10" s="17" t="n"/>
      <c r="N10" t="n">
        <v>414</v>
      </c>
      <c r="O10" t="n">
        <v>3.367</v>
      </c>
      <c r="P10" s="6" t="n">
        <v>27.3</v>
      </c>
      <c r="R10" t="n">
        <v>131000</v>
      </c>
      <c r="S10" s="1">
        <f>T10-0.6</f>
        <v/>
      </c>
      <c r="T10" s="6" t="n">
        <v>27.3</v>
      </c>
      <c r="U10" s="1">
        <f> T10+0.6</f>
        <v/>
      </c>
    </row>
    <row r="11">
      <c r="M11" s="17" t="n"/>
      <c r="N11" t="n">
        <v>419</v>
      </c>
      <c r="O11" t="n">
        <v>3.058</v>
      </c>
      <c r="P11" s="6" t="n">
        <v>26.2</v>
      </c>
      <c r="R11" t="n">
        <v>132700</v>
      </c>
      <c r="S11" s="1">
        <f>T11-0.6</f>
        <v/>
      </c>
      <c r="T11" s="6" t="n">
        <v>26.2</v>
      </c>
      <c r="U11" s="1">
        <f> T11+0.6</f>
        <v/>
      </c>
    </row>
    <row r="12">
      <c r="M12" s="17" t="n"/>
      <c r="N12" t="n">
        <v>423</v>
      </c>
      <c r="O12" t="n">
        <v>2.796</v>
      </c>
      <c r="P12" s="6" t="n">
        <v>25.2</v>
      </c>
      <c r="R12" t="n">
        <v>134100</v>
      </c>
      <c r="S12" s="1">
        <f>T12-0.6</f>
        <v/>
      </c>
      <c r="T12" s="6" t="n">
        <v>25.2</v>
      </c>
      <c r="U12" s="1">
        <f> T12+0.6</f>
        <v/>
      </c>
    </row>
    <row r="13">
      <c r="N13" t="n">
        <v>429</v>
      </c>
      <c r="O13" t="n">
        <v>2.522</v>
      </c>
      <c r="P13" s="6" t="n">
        <v>24.1</v>
      </c>
      <c r="R13" t="n">
        <v>136200</v>
      </c>
      <c r="S13" s="1">
        <f>T13-0.6</f>
        <v/>
      </c>
      <c r="T13" s="6" t="n">
        <v>24.1</v>
      </c>
      <c r="U13" s="1">
        <f> T13+0.6</f>
        <v/>
      </c>
    </row>
    <row r="14" ht="17" customHeight="1" s="29">
      <c r="M14" s="26" t="n"/>
      <c r="N14" t="n">
        <v>434</v>
      </c>
      <c r="O14" t="n">
        <v>2.605</v>
      </c>
      <c r="P14" s="6" t="n">
        <v>24.4</v>
      </c>
      <c r="R14" t="n">
        <v>138000</v>
      </c>
      <c r="S14" s="1">
        <f>T14-0.6</f>
        <v/>
      </c>
      <c r="T14" s="6" t="n">
        <v>24.4</v>
      </c>
      <c r="U14" s="1">
        <f> T14+0.6</f>
        <v/>
      </c>
    </row>
    <row r="15" ht="17" customHeight="1" s="29">
      <c r="M15" s="26" t="n"/>
      <c r="N15" t="n">
        <v>439</v>
      </c>
      <c r="O15" t="n">
        <v>2.491</v>
      </c>
      <c r="P15" s="6" t="n">
        <v>23.9</v>
      </c>
      <c r="R15" t="n">
        <v>139700</v>
      </c>
      <c r="S15" s="1">
        <f>T15-0.6</f>
        <v/>
      </c>
      <c r="T15" s="6" t="n">
        <v>23.9</v>
      </c>
      <c r="U15" s="1">
        <f> T15+0.6</f>
        <v/>
      </c>
    </row>
    <row r="16" ht="17" customHeight="1" s="29">
      <c r="M16" s="26" t="n"/>
    </row>
    <row r="17" ht="17" customHeight="1" s="29">
      <c r="M17" s="26" t="n"/>
    </row>
    <row r="18" ht="17" customHeight="1" s="29">
      <c r="M18" s="26" t="n"/>
    </row>
    <row r="19" ht="17" customHeight="1" s="29">
      <c r="M19" s="26" t="n"/>
    </row>
    <row r="20" ht="17" customHeight="1" s="29">
      <c r="M20" s="26" t="n"/>
    </row>
    <row r="21" ht="17" customHeight="1" s="29">
      <c r="M21" s="26" t="n"/>
    </row>
    <row r="22" ht="17" customHeight="1" s="29">
      <c r="M22" s="26" t="n"/>
    </row>
    <row r="23" ht="17" customHeight="1" s="29">
      <c r="M23" s="26" t="n"/>
    </row>
    <row r="24" ht="17" customHeight="1" s="29">
      <c r="M24" s="26" t="n"/>
    </row>
    <row r="25" ht="17" customHeight="1" s="29">
      <c r="M25" s="26" t="n"/>
    </row>
    <row r="26" ht="17" customHeight="1" s="29">
      <c r="M26" s="26" t="n"/>
    </row>
    <row r="27" ht="17" customHeight="1" s="29">
      <c r="M27" s="26" t="n"/>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25.xml><?xml version="1.0" encoding="utf-8"?>
<worksheet xmlns="http://schemas.openxmlformats.org/spreadsheetml/2006/main">
  <sheetPr>
    <tabColor rgb="FF0000FF"/>
    <outlinePr summaryBelow="1" summaryRight="1"/>
    <pageSetUpPr/>
  </sheetPr>
  <dimension ref="A1:Z200"/>
  <sheetViews>
    <sheetView topLeftCell="O1" zoomScale="75" workbookViewId="0">
      <selection activeCell="X3" sqref="X3"/>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inlineStr">
        <is>
          <t>SK157-4</t>
        </is>
      </c>
      <c r="B2" s="12" t="n">
        <v>78</v>
      </c>
      <c r="C2" s="12" t="n">
        <v>2.67</v>
      </c>
      <c r="D2" s="10" t="inlineStr">
        <is>
          <t>MgCa</t>
        </is>
      </c>
      <c r="E2" s="6" t="n"/>
      <c r="F2" s="6" t="n"/>
      <c r="G2" s="6" t="n"/>
      <c r="N2" t="n">
        <v>232</v>
      </c>
      <c r="O2" t="n">
        <v>3.858</v>
      </c>
      <c r="P2" s="1" t="n"/>
      <c r="Q2" s="1" t="n"/>
      <c r="R2" s="1" t="n">
        <v>116133.3</v>
      </c>
      <c r="S2" s="1" t="n"/>
      <c r="T2" t="n">
        <v>27.886</v>
      </c>
      <c r="U2" s="1" t="n"/>
      <c r="V2" s="6" t="inlineStr">
        <is>
          <t>Saraswat, R., R. Nigam, S. Weldeab, A. Mackensen, and P.D. Naidu. 2005. A first look at past sea surface temperatures in the equatorial Indian Ocean from Mg/Ca in foraminifera. Geophysical Research Letters, 32(24), L24605. doi: 10.1029/2005GL024093</t>
        </is>
      </c>
      <c r="W2" s="13" t="inlineStr">
        <is>
          <t>https://www.ncei.noaa.gov/pub/data/paleo/paleocean/sediment_files/complete/sk157_4-tab.txt</t>
        </is>
      </c>
      <c r="X2" s="6" t="inlineStr">
        <is>
          <t>Radiocarbon years B.P. (Libby half-life; B.P. = 1950)</t>
        </is>
      </c>
      <c r="Y2" s="6" t="inlineStr">
        <is>
          <t>The Mg/Ca ratio was converted to SST using the depth corrected G. ruber Mg/Ca-SST calibration of Dekens et al. [2002]: (Mg/Ca = 0.38 exp 0.09 [SST - 0.61 (core depth km)]).</t>
        </is>
      </c>
      <c r="Z2" t="n">
        <v>-3500</v>
      </c>
    </row>
    <row r="3">
      <c r="E3" s="6" t="n"/>
      <c r="F3" s="6" t="n"/>
      <c r="G3" s="6" t="n"/>
      <c r="N3" t="n">
        <v>234</v>
      </c>
      <c r="O3" t="n">
        <v>4.098</v>
      </c>
      <c r="P3" s="1" t="n"/>
      <c r="Q3" s="1" t="n"/>
      <c r="R3" s="1" t="n">
        <v>117600</v>
      </c>
      <c r="S3" s="1" t="n"/>
      <c r="T3" t="n">
        <v>28.557</v>
      </c>
      <c r="U3" s="1" t="n"/>
    </row>
    <row r="4">
      <c r="E4" s="6" t="n"/>
      <c r="F4" s="6" t="n"/>
      <c r="G4" s="6" t="n"/>
      <c r="N4" t="n">
        <v>236</v>
      </c>
      <c r="O4" t="n">
        <v>4.46</v>
      </c>
      <c r="P4" s="1" t="n"/>
      <c r="Q4" s="1" t="n"/>
      <c r="R4" s="1" t="n">
        <v>119066.7</v>
      </c>
      <c r="S4" s="1" t="n"/>
      <c r="T4" t="n">
        <v>29.499</v>
      </c>
      <c r="U4" s="1" t="n"/>
    </row>
    <row r="5">
      <c r="E5" s="6" t="n"/>
      <c r="F5" s="6" t="n"/>
      <c r="G5" s="6" t="n"/>
      <c r="N5" t="n">
        <v>238</v>
      </c>
      <c r="O5" t="n">
        <v>4.007</v>
      </c>
      <c r="P5" s="1" t="n"/>
      <c r="Q5" s="1" t="n"/>
      <c r="R5" s="1" t="n">
        <v>120533.3</v>
      </c>
      <c r="S5" s="1" t="n"/>
      <c r="T5" t="n">
        <v>28.308</v>
      </c>
      <c r="U5" s="1" t="n"/>
    </row>
    <row r="6">
      <c r="N6" t="n">
        <v>240</v>
      </c>
      <c r="O6" t="n">
        <v>4.637</v>
      </c>
      <c r="P6" s="1" t="n"/>
      <c r="Q6" s="1" t="n"/>
      <c r="R6" s="1" t="n">
        <v>122000</v>
      </c>
      <c r="S6" s="1" t="n"/>
      <c r="T6" t="n">
        <v>29.932</v>
      </c>
      <c r="U6" s="1" t="n"/>
    </row>
    <row r="7">
      <c r="N7" t="n">
        <v>244</v>
      </c>
      <c r="O7" t="n">
        <v>4.345</v>
      </c>
      <c r="P7" s="1" t="n"/>
      <c r="Q7" s="1" t="n"/>
      <c r="R7" s="1" t="n">
        <v>124000</v>
      </c>
      <c r="S7" s="1" t="n"/>
      <c r="T7" t="n">
        <v>29.207</v>
      </c>
      <c r="U7" s="1" t="n"/>
    </row>
    <row r="8">
      <c r="N8" t="n">
        <v>246</v>
      </c>
      <c r="O8" t="n">
        <v>4.075</v>
      </c>
      <c r="P8" s="1" t="n"/>
      <c r="Q8" s="1" t="n"/>
      <c r="R8" s="1" t="n">
        <v>125000</v>
      </c>
      <c r="S8" s="1" t="n"/>
      <c r="T8" t="n">
        <v>28.496</v>
      </c>
      <c r="U8" s="1" t="n"/>
    </row>
    <row r="9">
      <c r="N9" t="n">
        <v>248</v>
      </c>
      <c r="O9" t="n">
        <v>4.212</v>
      </c>
      <c r="P9" s="1" t="n"/>
      <c r="Q9" s="1" t="n"/>
      <c r="R9" s="1" t="n">
        <v>126000</v>
      </c>
      <c r="S9" s="1" t="n"/>
      <c r="T9" t="n">
        <v>28.864</v>
      </c>
      <c r="U9" s="1" t="n"/>
    </row>
    <row r="10">
      <c r="N10" t="n">
        <v>250</v>
      </c>
      <c r="O10" t="n">
        <v>4.068</v>
      </c>
      <c r="P10" s="1" t="n"/>
      <c r="Q10" s="1" t="n"/>
      <c r="R10" s="1" t="n">
        <v>127000</v>
      </c>
      <c r="S10" s="1" t="n"/>
      <c r="T10" t="n">
        <v>28.477</v>
      </c>
      <c r="U10" s="1" t="n"/>
    </row>
    <row r="11">
      <c r="N11" t="n">
        <v>252</v>
      </c>
      <c r="O11" t="n">
        <v>3.819</v>
      </c>
      <c r="P11" s="1" t="n"/>
      <c r="Q11" s="1" t="n"/>
      <c r="R11" s="1" t="n">
        <v>128333.3</v>
      </c>
      <c r="S11" s="1" t="n"/>
      <c r="T11" t="n">
        <v>27.776</v>
      </c>
      <c r="U11" s="1" t="n"/>
    </row>
    <row r="12">
      <c r="N12" t="n">
        <v>254</v>
      </c>
      <c r="O12" t="n">
        <v>3.866</v>
      </c>
      <c r="P12" s="1" t="n"/>
      <c r="Q12" s="1" t="n"/>
      <c r="R12" s="1" t="n">
        <v>129666.7</v>
      </c>
      <c r="S12" s="1" t="n"/>
      <c r="T12" t="n">
        <v>27.91</v>
      </c>
      <c r="U12" s="1" t="n"/>
    </row>
    <row r="13">
      <c r="N13" t="n">
        <v>256</v>
      </c>
      <c r="O13" t="n">
        <v>3.691</v>
      </c>
      <c r="P13" s="1" t="n"/>
      <c r="Q13" s="1" t="n"/>
      <c r="R13" s="1" t="n">
        <v>131000</v>
      </c>
      <c r="S13" s="1" t="n"/>
      <c r="T13" t="n">
        <v>27.397</v>
      </c>
      <c r="U13" s="1" t="n"/>
    </row>
    <row r="14">
      <c r="N14" t="n">
        <v>258</v>
      </c>
      <c r="O14" t="n">
        <v>3.647</v>
      </c>
      <c r="P14" s="1" t="n"/>
      <c r="Q14" s="1" t="n"/>
      <c r="R14" s="1" t="n">
        <v>131800</v>
      </c>
      <c r="S14" s="1" t="n"/>
      <c r="T14" t="n">
        <v>27.262</v>
      </c>
      <c r="U14" s="1" t="n"/>
    </row>
    <row r="15">
      <c r="N15" t="n">
        <v>260</v>
      </c>
      <c r="O15" t="n">
        <v>3.658</v>
      </c>
      <c r="P15" s="1" t="n"/>
      <c r="Q15" s="1" t="n"/>
      <c r="R15" s="1" t="n">
        <v>132600</v>
      </c>
      <c r="S15" s="1" t="n"/>
      <c r="T15" t="n">
        <v>27.296</v>
      </c>
      <c r="U15" s="1" t="n"/>
    </row>
    <row r="16">
      <c r="N16" t="n">
        <v>262</v>
      </c>
      <c r="O16" t="n">
        <v>3.876</v>
      </c>
      <c r="P16" s="1" t="n"/>
      <c r="Q16" s="1" t="n"/>
      <c r="R16" s="1" t="n">
        <v>133400</v>
      </c>
      <c r="S16" s="1" t="n"/>
      <c r="T16" t="n">
        <v>27.94</v>
      </c>
      <c r="U16" s="1" t="n"/>
    </row>
    <row r="17">
      <c r="N17" t="n">
        <v>264</v>
      </c>
      <c r="O17" t="n">
        <v>3.691</v>
      </c>
      <c r="P17" s="1" t="n"/>
      <c r="Q17" s="1" t="n"/>
      <c r="R17" s="1" t="n">
        <v>134200</v>
      </c>
      <c r="S17" s="1" t="n"/>
      <c r="T17" t="n">
        <v>27.396</v>
      </c>
      <c r="U17" s="1" t="n"/>
    </row>
    <row r="18">
      <c r="N18" t="n">
        <v>266</v>
      </c>
      <c r="O18" t="n">
        <v>3.67</v>
      </c>
      <c r="P18" s="1" t="n"/>
      <c r="Q18" s="1" t="n"/>
      <c r="R18" s="1" t="n">
        <v>135000</v>
      </c>
      <c r="S18" s="1" t="n"/>
      <c r="T18" t="n">
        <v>27.331</v>
      </c>
      <c r="U18" s="1" t="n"/>
    </row>
    <row r="19">
      <c r="N19" t="n">
        <v>268</v>
      </c>
      <c r="O19" t="n">
        <v>3.752</v>
      </c>
      <c r="P19" s="1" t="n"/>
      <c r="Q19" s="1" t="n"/>
      <c r="R19" s="1" t="n">
        <v>136166.7</v>
      </c>
      <c r="S19" s="1" t="n"/>
      <c r="T19" t="n">
        <v>27.578</v>
      </c>
      <c r="U19" s="1" t="n"/>
    </row>
    <row r="20">
      <c r="N20" t="n">
        <v>270</v>
      </c>
      <c r="O20" t="n">
        <v>3.627</v>
      </c>
      <c r="P20" s="1" t="n"/>
      <c r="Q20" s="1" t="n"/>
      <c r="R20" s="1" t="n">
        <v>137333.3</v>
      </c>
      <c r="S20" s="1" t="n"/>
      <c r="T20" t="n">
        <v>27.202</v>
      </c>
      <c r="U20" s="1" t="n"/>
    </row>
    <row r="21">
      <c r="N21" s="1" t="n"/>
      <c r="O21" s="1" t="n"/>
      <c r="P21" s="1" t="n"/>
      <c r="Q21" s="1" t="n"/>
      <c r="R21" s="1" t="n"/>
      <c r="S21" s="1" t="n"/>
      <c r="T21" s="1" t="n"/>
      <c r="U21" s="1" t="n"/>
    </row>
    <row r="171">
      <c r="L171" s="11" t="n">
        <v>895.5</v>
      </c>
      <c r="M171" s="11" t="n">
        <v>4.48</v>
      </c>
    </row>
    <row r="172">
      <c r="L172" s="11" t="n">
        <v>896.5</v>
      </c>
      <c r="M172" s="11" t="n">
        <v>4.42</v>
      </c>
    </row>
    <row r="173">
      <c r="L173" s="11" t="n">
        <v>897.5</v>
      </c>
      <c r="M173" s="11" t="n">
        <v>4.53</v>
      </c>
    </row>
    <row r="174">
      <c r="L174" s="11" t="n">
        <v>898.5</v>
      </c>
      <c r="M174" s="11" t="n">
        <v>4.59</v>
      </c>
    </row>
    <row r="175">
      <c r="L175" s="11" t="n">
        <v>899.5</v>
      </c>
      <c r="M175" s="11" t="n">
        <v>4.86</v>
      </c>
    </row>
    <row r="176">
      <c r="L176" s="11" t="n">
        <v>900.5</v>
      </c>
      <c r="M176" s="11" t="n">
        <v>5.01</v>
      </c>
    </row>
    <row r="177">
      <c r="L177" s="11" t="n">
        <v>901.5</v>
      </c>
      <c r="M177" s="11" t="n">
        <v>5.03</v>
      </c>
    </row>
    <row r="178">
      <c r="L178" s="11" t="n">
        <v>902.5</v>
      </c>
      <c r="M178" s="11" t="n">
        <v>4.95</v>
      </c>
    </row>
    <row r="179">
      <c r="L179" s="11" t="n">
        <v>903.5</v>
      </c>
      <c r="M179" s="11" t="n">
        <v>5.05</v>
      </c>
    </row>
    <row r="180">
      <c r="L180" s="11" t="n">
        <v>904.5</v>
      </c>
      <c r="M180" s="11" t="n">
        <v>5.05</v>
      </c>
    </row>
    <row r="181">
      <c r="L181" s="11" t="n">
        <v>905.5</v>
      </c>
      <c r="M181" s="11" t="n">
        <v>5.07</v>
      </c>
    </row>
    <row r="182">
      <c r="L182" s="11" t="n">
        <v>907.5</v>
      </c>
      <c r="M182" s="11" t="n">
        <v>4.84</v>
      </c>
    </row>
    <row r="183">
      <c r="L183" s="11" t="n">
        <v>908.5</v>
      </c>
      <c r="M183" s="11" t="n">
        <v>4.9</v>
      </c>
    </row>
    <row r="184">
      <c r="L184" s="11" t="n">
        <v>909.5</v>
      </c>
      <c r="M184" s="11" t="n">
        <v>4.88</v>
      </c>
    </row>
    <row r="185">
      <c r="L185" s="11" t="n">
        <v>910.5</v>
      </c>
      <c r="M185" s="11" t="n">
        <v>4.77</v>
      </c>
    </row>
    <row r="186">
      <c r="L186" s="11" t="n">
        <v>913.5</v>
      </c>
      <c r="M186" s="11" t="n">
        <v>4.73</v>
      </c>
    </row>
    <row r="187">
      <c r="L187" s="11" t="n">
        <v>914.5</v>
      </c>
      <c r="M187" s="11" t="n">
        <v>4.63</v>
      </c>
    </row>
    <row r="188">
      <c r="L188" s="11" t="n">
        <v>915.5</v>
      </c>
      <c r="M188" s="11" t="n">
        <v>4.45</v>
      </c>
    </row>
    <row r="189">
      <c r="L189" s="11" t="n">
        <v>916.5</v>
      </c>
      <c r="M189" s="11" t="n">
        <v>4.47</v>
      </c>
    </row>
    <row r="190">
      <c r="L190" s="11" t="n">
        <v>917.5</v>
      </c>
      <c r="M190" s="11" t="n">
        <v>4.41</v>
      </c>
    </row>
    <row r="191">
      <c r="L191" s="11" t="n">
        <v>918.5</v>
      </c>
      <c r="M191" s="11" t="n">
        <v>4.41</v>
      </c>
    </row>
    <row r="192">
      <c r="L192" s="11" t="n">
        <v>919.5</v>
      </c>
      <c r="M192" s="11" t="n">
        <v>4.59</v>
      </c>
    </row>
    <row r="193">
      <c r="L193" s="11" t="n">
        <v>920.5</v>
      </c>
      <c r="M193" s="11" t="n">
        <v>4.53</v>
      </c>
    </row>
    <row r="194">
      <c r="L194" s="11" t="n">
        <v>921.5</v>
      </c>
      <c r="M194" s="11" t="n">
        <v>4.67</v>
      </c>
    </row>
    <row r="195">
      <c r="L195" s="11" t="n">
        <v>922.5</v>
      </c>
      <c r="M195" s="11" t="n">
        <v>4.74</v>
      </c>
    </row>
    <row r="196">
      <c r="L196" s="11" t="n">
        <v>923.5</v>
      </c>
      <c r="M196" s="11" t="n">
        <v>4.96</v>
      </c>
    </row>
    <row r="197">
      <c r="L197" s="11" t="n">
        <v>924.5</v>
      </c>
      <c r="M197" s="11" t="n">
        <v>5.05</v>
      </c>
    </row>
    <row r="198">
      <c r="L198" s="11" t="n">
        <v>925.5</v>
      </c>
      <c r="M198" s="11" t="n">
        <v>5.19</v>
      </c>
    </row>
    <row r="199">
      <c r="L199" s="11" t="n">
        <v>926.5</v>
      </c>
      <c r="M199" s="11" t="n">
        <v>5.41</v>
      </c>
    </row>
    <row r="200">
      <c r="L200" s="11" t="n">
        <v>927.5</v>
      </c>
      <c r="M200" s="11" t="n">
        <v>5.43</v>
      </c>
    </row>
  </sheetData>
  <hyperlinks>
    <hyperlink xmlns:r="http://schemas.openxmlformats.org/officeDocument/2006/relationships" ref="W2" r:id="rId1"/>
  </hyperlinks>
  <pageMargins left="0.75" right="0.75" top="1" bottom="1" header="0.5" footer="0.5"/>
  <pageSetup orientation="portrait" horizontalDpi="4294967292" verticalDpi="4294967292"/>
</worksheet>
</file>

<file path=xl/worksheets/sheet26.xml><?xml version="1.0" encoding="utf-8"?>
<worksheet xmlns="http://schemas.openxmlformats.org/spreadsheetml/2006/main">
  <sheetPr>
    <outlinePr summaryBelow="1" summaryRight="1"/>
    <pageSetUpPr/>
  </sheetPr>
  <dimension ref="A1:Z5"/>
  <sheetViews>
    <sheetView zoomScale="50" workbookViewId="0">
      <selection activeCell="C12" sqref="C12"/>
    </sheetView>
  </sheetViews>
  <sheetFormatPr baseColWidth="10" defaultColWidth="13.42578125" defaultRowHeight="16"/>
  <cols>
    <col width="13.42578125" customWidth="1" style="6" min="1" max="4"/>
    <col hidden="1" width="13" customWidth="1" style="11" min="5" max="11"/>
    <col width="13.42578125" customWidth="1" style="11" min="12" max="16"/>
    <col width="13.42578125" customWidth="1" style="6" min="17" max="16384"/>
  </cols>
  <sheetData>
    <row r="1" ht="47" customFormat="1" customHeight="1" s="8">
      <c r="A1" s="7" t="inlineStr">
        <is>
          <t>ID</t>
        </is>
      </c>
      <c r="B1" s="7" t="inlineStr">
        <is>
          <t>Longitude</t>
        </is>
      </c>
      <c r="C1" s="7" t="inlineStr">
        <is>
          <t>Latitude</t>
        </is>
      </c>
      <c r="D1" s="7" t="inlineStr">
        <is>
          <t>Proxy</t>
        </is>
      </c>
      <c r="E1" s="5" t="inlineStr">
        <is>
          <t>Tie Point Depth (cm)</t>
        </is>
      </c>
      <c r="F1" s="5" t="inlineStr">
        <is>
          <t>Tie Point Age (yr)</t>
        </is>
      </c>
      <c r="G1" s="5" t="inlineStr">
        <is>
          <t>Tie Point Uncertainty (yr)</t>
        </is>
      </c>
      <c r="H1" s="5" t="inlineStr">
        <is>
          <t>Hadley Bias Correction</t>
        </is>
      </c>
      <c r="I1" s="5" t="inlineStr">
        <is>
          <t>Hadley uncertainty</t>
        </is>
      </c>
      <c r="J1" s="5" t="inlineStr">
        <is>
          <t>TF Uncertainty</t>
        </is>
      </c>
      <c r="K1" s="5" t="inlineStr">
        <is>
          <t>SS Uncertainty</t>
        </is>
      </c>
      <c r="L1" s="5" t="inlineStr">
        <is>
          <t>Benthic d18O Depth (cm)</t>
        </is>
      </c>
      <c r="M1" s="5" t="inlineStr">
        <is>
          <t>Benthic d18O (per mil)</t>
        </is>
      </c>
      <c r="N1" s="5" t="inlineStr">
        <is>
          <t>Depth (cm)</t>
        </is>
      </c>
      <c r="O1" s="5" t="inlineStr">
        <is>
          <t>Proxy Value</t>
        </is>
      </c>
      <c r="P1" s="5" t="inlineStr">
        <is>
          <t>SST (ºC)</t>
        </is>
      </c>
      <c r="Q1" s="5" t="inlineStr">
        <is>
          <t>Biascorr</t>
        </is>
      </c>
      <c r="R1" s="5" t="inlineStr">
        <is>
          <t>Age (yr)</t>
        </is>
      </c>
      <c r="S1" s="5" t="inlineStr">
        <is>
          <t>SST -2sd</t>
        </is>
      </c>
      <c r="T1" s="5" t="inlineStr">
        <is>
          <t>SST mean</t>
        </is>
      </c>
      <c r="U1" s="5" t="inlineStr">
        <is>
          <t>SST +2sd</t>
        </is>
      </c>
      <c r="V1" s="8" t="inlineStr">
        <is>
          <t>Publication</t>
        </is>
      </c>
      <c r="W1" s="8" t="inlineStr">
        <is>
          <t>Data Link</t>
        </is>
      </c>
      <c r="X1" s="8" t="inlineStr">
        <is>
          <t>Chronology Info</t>
        </is>
      </c>
      <c r="Y1" s="8" t="inlineStr">
        <is>
          <t>Method</t>
        </is>
      </c>
      <c r="Z1" s="8" t="inlineStr">
        <is>
          <t>Elevation (m)</t>
        </is>
      </c>
    </row>
    <row r="2">
      <c r="A2" s="9" t="n"/>
      <c r="B2" s="10" t="n"/>
      <c r="C2" s="10" t="n"/>
      <c r="D2" s="10" t="n"/>
      <c r="E2" s="6" t="n"/>
      <c r="F2" s="6" t="n"/>
      <c r="G2" s="6" t="n"/>
    </row>
    <row r="3">
      <c r="E3" s="6" t="n"/>
      <c r="F3" s="6" t="n"/>
      <c r="G3" s="6" t="n"/>
    </row>
    <row r="4">
      <c r="E4" s="6" t="n"/>
      <c r="F4" s="6" t="n"/>
      <c r="G4" s="6" t="n"/>
    </row>
    <row r="5">
      <c r="E5" s="6" t="n"/>
      <c r="F5" s="6" t="n"/>
      <c r="G5" s="6" t="n"/>
    </row>
  </sheetData>
  <pageMargins left="0.75" right="0.75" top="1" bottom="1" header="0.5" footer="0.5"/>
  <pageSetup orientation="portrait" horizontalDpi="4294967292" verticalDpi="4294967292"/>
</worksheet>
</file>

<file path=xl/worksheets/sheet27.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DSDP 588</t>
        </is>
      </c>
      <c r="B2" t="n">
        <v>161</v>
      </c>
      <c r="C2" t="n">
        <v>-26</v>
      </c>
      <c r="D2" t="inlineStr">
        <is>
          <t>Foram</t>
        </is>
      </c>
      <c r="P2" t="n">
        <v>27.5</v>
      </c>
      <c r="R2" t="n">
        <v>128000</v>
      </c>
      <c r="T2" t="n">
        <v>27.5</v>
      </c>
      <c r="V2" t="inlineStr">
        <is>
          <t>Aradhna K. Tripati, Christopher D. Roberts, Robert A. Eagle, Gaojun Li. 2011. A 20 million year record of planktic foraminiferal B/Ca ratios: Systematics and uncertainties in pCO2 reconstructions. Geochimica et Cosmochimica Acta, 75(10), 2582-2610. doi: 10.1016/j.gca.2011.01.018</t>
        </is>
      </c>
      <c r="W2" t="inlineStr">
        <is>
          <t>https://www.ncei.noaa.gov/pub/data/paleo/contributions_by_author/tripati2011/tripati2011species.txt</t>
        </is>
      </c>
      <c r="X2" t="inlineStr">
        <is>
          <t>Chronology:</t>
        </is>
      </c>
      <c r="Y2" t="inlineStr">
        <is>
          <t>values from the Miocene through Holocene (~20 to 0 Ma). Average, maximum, and minimum pCO2 estimates are calculated for each time. -------------------- Publication | Abstract: We use new and published data representing a 20 million long record to discuss the systematics of interpreting planktic foraminiferal B/Ca ratios. B/Ca-based reconstructions of seawater carbonate chemistry and atmospheric pCO2 assume that the incorporation of boron into foraminiferal tests can be empirically described by an apparent partition coefficient, KD=(B/CaCaCO3)/(BOH4-/HCO3- seawater) (Hemming and Hanson, 1992). It has also been proposed that there is a species-specific relationship between KD and temperature (Yu et al., 2007). As we discuss, although these relationships may be robust, there remain significant uncertainties over the controls on boron incorporation into foraminifera. It is difficult to be ce</t>
        </is>
      </c>
      <c r="Z2" t="n">
        <v>-1548</v>
      </c>
    </row>
    <row r="3">
      <c r="P3" t="n">
        <v>27.5</v>
      </c>
      <c r="R3" t="n">
        <v>128000</v>
      </c>
      <c r="T3" t="n">
        <v>27.5</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Z51"/>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ODP 1094</t>
        </is>
      </c>
      <c r="B2" t="n">
        <v>5.130333</v>
      </c>
      <c r="C2" t="n">
        <v>-53.18035</v>
      </c>
      <c r="D2" t="inlineStr">
        <is>
          <t>TEX86</t>
        </is>
      </c>
      <c r="N2" t="n">
        <v>22.92</v>
      </c>
      <c r="P2" t="n">
        <v>4.31</v>
      </c>
      <c r="R2" t="n">
        <v>118750</v>
      </c>
      <c r="T2" t="n">
        <v>4.31</v>
      </c>
      <c r="V2" t="inlineStr">
        <is>
          <t>Hayes, C.T., A. Martinez-Garcia, A.P. Hasenfratz, S.L. Jaccard, D.A. Hodell, D.M. Sigman, G.H. Haug, and R.F. Anderson. 2014. A stagnation event in the deep South Atlantic during the last interglacial period. Science, 346(6216), 1514-1517. doi: 10.1126/science.1256620</t>
        </is>
      </c>
      <c r="W2" t="inlineStr">
        <is>
          <t>https://www.ncei.noaa.gov/pub/data/paleo/contributions_by_author/hayes2014/hayes2014.txt</t>
        </is>
      </c>
      <c r="X2" t="inlineStr">
        <is>
          <t xml:space="preserve">Chronology: The age model for the period spanning 140-118 ka was derived by tuning the TEX86L temperature record from ODP1094 to the Antarctic ice core temperature record on the Antarctic Ice Core Chronology (AICC2012). This augments the age model used for the same core by Jaccard et al. (2013). tie-points:	Depth (mcd)	Age (kyr BP) 22.77	118.13 23.23	120.04 23.67	123.01 | The age model for the period spanning 140-118 ka was derived by tuning the TEX86L temperature record from ODP1094 to the Antarctic ice core temperature record on the Antarctic Ice Core Chronology (AICC2012). This augments the age model used for the same core by Jaccard et al. (2013). tie-points:	Depth (mcd)	Age (kyr BP) 22.77	118.13 23.23	120.04 23.67	123.01 24.51	127.02 | AvgMAR  	interval average mass accumulation rate, bulk sediment, , grams*cm-2*kyr-1, ,paleoceanography ,average MAR integrated between age model tie </t>
        </is>
      </c>
      <c r="Y2" t="inlineStr">
        <is>
          <t>Variables | Data variables follow are preceded by "##" in columns one and two. | Data line variables format:  Variables list, one per line, shortname-tab-longname-tab-longname components (9 components: what, material, error, units, seasonality, archive, detail, method, C or N for Character or Numeric data) | FocusFact  Th-230 based focusing factor, bulk sediment, , unitless, ,paleoceanography , ratio of excess Th-230 inventory to water column Th-230 production calculated as averages between age model tie-points, ,N sst-TEX86L	Sea-surface temperature, bulk sediment, , degress Celsius, ,paleoceanography ,based on the marine lipid index TEX-86L calibration of Kim et al. (2012), ,N d13Cc.wuell&gt;150-vp  delta 13C,Cibicidoides wuellerstorfi, , , per mil VPDB, ,paleoceanography , picked from &gt;150 micron fraction , ,N | sst-TEX86L	Sea-surface temperature, bulk sediment, , degress Celsius, ,paleoc</t>
        </is>
      </c>
      <c r="Z2" t="n">
        <v>-2807</v>
      </c>
    </row>
    <row r="3">
      <c r="N3" t="n">
        <v>23.07</v>
      </c>
      <c r="P3" t="n">
        <v>3.91</v>
      </c>
      <c r="R3" t="n">
        <v>119380</v>
      </c>
      <c r="T3" t="n">
        <v>3.91</v>
      </c>
    </row>
    <row r="4">
      <c r="N4" t="n">
        <v>23.12</v>
      </c>
      <c r="P4" t="n">
        <v>3.91</v>
      </c>
      <c r="R4" t="n">
        <v>119580</v>
      </c>
      <c r="T4" t="n">
        <v>3.91</v>
      </c>
    </row>
    <row r="5">
      <c r="N5" t="n">
        <v>23.22</v>
      </c>
      <c r="P5" t="n">
        <v>3.74</v>
      </c>
      <c r="R5" t="n">
        <v>120000</v>
      </c>
      <c r="T5" t="n">
        <v>3.74</v>
      </c>
    </row>
    <row r="6">
      <c r="N6" t="n">
        <v>23.32</v>
      </c>
      <c r="P6" t="n">
        <v>4.3</v>
      </c>
      <c r="R6" t="n">
        <v>120650</v>
      </c>
      <c r="T6" t="n">
        <v>4.3</v>
      </c>
    </row>
    <row r="7">
      <c r="N7" t="n">
        <v>23.37</v>
      </c>
      <c r="P7" t="n">
        <v>4.09</v>
      </c>
      <c r="R7" t="n">
        <v>120990</v>
      </c>
      <c r="T7" t="n">
        <v>4.09</v>
      </c>
    </row>
    <row r="8">
      <c r="N8" t="n">
        <v>23.52</v>
      </c>
      <c r="P8" t="n">
        <v>4.93</v>
      </c>
      <c r="R8" t="n">
        <v>122000</v>
      </c>
      <c r="T8" t="n">
        <v>4.93</v>
      </c>
    </row>
    <row r="9">
      <c r="N9" t="n">
        <v>23.67</v>
      </c>
      <c r="P9" t="n">
        <v>4.3</v>
      </c>
      <c r="R9" t="n">
        <v>123010</v>
      </c>
      <c r="T9" t="n">
        <v>4.3</v>
      </c>
    </row>
    <row r="10">
      <c r="N10" t="n">
        <v>23.87</v>
      </c>
      <c r="P10" t="n">
        <v>5.05</v>
      </c>
      <c r="R10" t="n">
        <v>123960</v>
      </c>
      <c r="T10" t="n">
        <v>5.05</v>
      </c>
    </row>
    <row r="11">
      <c r="N11" t="n">
        <v>23.98</v>
      </c>
      <c r="P11" t="n">
        <v>5.49</v>
      </c>
      <c r="R11" t="n">
        <v>124480</v>
      </c>
      <c r="T11" t="n">
        <v>5.49</v>
      </c>
    </row>
    <row r="12">
      <c r="N12" t="n">
        <v>24.16</v>
      </c>
      <c r="P12" t="n">
        <v>4.78</v>
      </c>
      <c r="R12" t="n">
        <v>125340</v>
      </c>
      <c r="T12" t="n">
        <v>4.78</v>
      </c>
    </row>
    <row r="13">
      <c r="N13" t="n">
        <v>24.23</v>
      </c>
      <c r="P13" t="n">
        <v>5.31</v>
      </c>
      <c r="R13" t="n">
        <v>125670</v>
      </c>
      <c r="T13" t="n">
        <v>5.31</v>
      </c>
    </row>
    <row r="14">
      <c r="N14" t="n">
        <v>24.28</v>
      </c>
      <c r="P14" t="n">
        <v>4.44</v>
      </c>
      <c r="R14" t="n">
        <v>125910</v>
      </c>
      <c r="T14" t="n">
        <v>4.44</v>
      </c>
    </row>
    <row r="15">
      <c r="N15" t="n">
        <v>24.51</v>
      </c>
      <c r="P15" t="n">
        <v>5.54</v>
      </c>
      <c r="R15" t="n">
        <v>127000</v>
      </c>
      <c r="T15" t="n">
        <v>5.54</v>
      </c>
    </row>
    <row r="16">
      <c r="N16" t="n">
        <v>24.53</v>
      </c>
      <c r="P16" t="n">
        <v>5.2</v>
      </c>
      <c r="R16" t="n">
        <v>127160</v>
      </c>
      <c r="T16" t="n">
        <v>5.2</v>
      </c>
    </row>
    <row r="17">
      <c r="N17" t="n">
        <v>24.58</v>
      </c>
      <c r="P17" t="n">
        <v>6.49</v>
      </c>
      <c r="R17" t="n">
        <v>127600</v>
      </c>
      <c r="T17" t="n">
        <v>6.49</v>
      </c>
    </row>
    <row r="18">
      <c r="N18" t="n">
        <v>24.62</v>
      </c>
      <c r="P18" t="n">
        <v>6.14</v>
      </c>
      <c r="R18" t="n">
        <v>127950</v>
      </c>
      <c r="T18" t="n">
        <v>6.14</v>
      </c>
    </row>
    <row r="19">
      <c r="N19" t="n">
        <v>24.71</v>
      </c>
      <c r="P19" t="n">
        <v>7.02</v>
      </c>
      <c r="R19" t="n">
        <v>128740</v>
      </c>
      <c r="T19" t="n">
        <v>7.02</v>
      </c>
    </row>
    <row r="20">
      <c r="N20" t="n">
        <v>24.81</v>
      </c>
      <c r="P20" t="n">
        <v>5.94</v>
      </c>
      <c r="R20" t="n">
        <v>129880</v>
      </c>
      <c r="T20" t="n">
        <v>5.94</v>
      </c>
    </row>
    <row r="21">
      <c r="N21" t="n">
        <v>24.86</v>
      </c>
      <c r="P21" t="n">
        <v>6.31</v>
      </c>
      <c r="R21" t="n">
        <v>130450</v>
      </c>
      <c r="T21" t="n">
        <v>6.31</v>
      </c>
    </row>
    <row r="22">
      <c r="N22" t="n">
        <v>24.92</v>
      </c>
      <c r="P22" t="n">
        <v>4.83</v>
      </c>
      <c r="R22" t="n">
        <v>131140</v>
      </c>
      <c r="T22" t="n">
        <v>4.83</v>
      </c>
    </row>
    <row r="23">
      <c r="N23" t="n">
        <v>24.96</v>
      </c>
      <c r="P23" t="n">
        <v>4.65</v>
      </c>
      <c r="R23" t="n">
        <v>131580</v>
      </c>
      <c r="T23" t="n">
        <v>4.65</v>
      </c>
    </row>
    <row r="24">
      <c r="N24" t="n">
        <v>25.06</v>
      </c>
      <c r="P24" t="n">
        <v>3.6</v>
      </c>
      <c r="R24" t="n">
        <v>132070</v>
      </c>
      <c r="T24" t="n">
        <v>3.6</v>
      </c>
    </row>
    <row r="25">
      <c r="N25" t="n">
        <v>25.12</v>
      </c>
      <c r="P25" t="n">
        <v>3.11</v>
      </c>
      <c r="R25" t="n">
        <v>132370</v>
      </c>
      <c r="T25" t="n">
        <v>3.11</v>
      </c>
    </row>
    <row r="26">
      <c r="N26" t="n">
        <v>25.16</v>
      </c>
      <c r="P26" t="n">
        <v>2.53</v>
      </c>
      <c r="R26" t="n">
        <v>132570</v>
      </c>
      <c r="T26" t="n">
        <v>2.53</v>
      </c>
    </row>
    <row r="27">
      <c r="N27" t="n">
        <v>25.22</v>
      </c>
      <c r="P27" t="n">
        <v>2.79</v>
      </c>
      <c r="R27" t="n">
        <v>132860</v>
      </c>
      <c r="T27" t="n">
        <v>2.79</v>
      </c>
    </row>
    <row r="28">
      <c r="N28" t="n">
        <v>25.26</v>
      </c>
      <c r="P28" t="n">
        <v>2.57</v>
      </c>
      <c r="R28" t="n">
        <v>132970</v>
      </c>
      <c r="T28" t="n">
        <v>2.57</v>
      </c>
    </row>
    <row r="29">
      <c r="N29" t="n">
        <v>25.36</v>
      </c>
      <c r="P29" t="n">
        <v>1.6</v>
      </c>
      <c r="R29" t="n">
        <v>133180</v>
      </c>
      <c r="T29" t="n">
        <v>1.6</v>
      </c>
    </row>
    <row r="30">
      <c r="N30" t="n">
        <v>25.42</v>
      </c>
      <c r="P30" t="n">
        <v>1.49</v>
      </c>
      <c r="R30" t="n">
        <v>133310</v>
      </c>
      <c r="T30" t="n">
        <v>1.49</v>
      </c>
    </row>
    <row r="31">
      <c r="N31" t="n">
        <v>25.46</v>
      </c>
      <c r="P31" t="n">
        <v>1.67</v>
      </c>
      <c r="R31" t="n">
        <v>133390</v>
      </c>
      <c r="T31" t="n">
        <v>1.67</v>
      </c>
    </row>
    <row r="32">
      <c r="N32" t="n">
        <v>25.52</v>
      </c>
      <c r="P32" t="n">
        <v>1.64</v>
      </c>
      <c r="R32" t="n">
        <v>133520</v>
      </c>
      <c r="T32" t="n">
        <v>1.64</v>
      </c>
    </row>
    <row r="33">
      <c r="N33" t="n">
        <v>25.54</v>
      </c>
      <c r="P33" t="n">
        <v>1.05</v>
      </c>
      <c r="R33" t="n">
        <v>133560</v>
      </c>
      <c r="T33" t="n">
        <v>1.05</v>
      </c>
    </row>
    <row r="34">
      <c r="N34" t="n">
        <v>25.59</v>
      </c>
      <c r="P34" t="n">
        <v>0.37</v>
      </c>
      <c r="R34" t="n">
        <v>133660</v>
      </c>
      <c r="T34" t="n">
        <v>0.37</v>
      </c>
    </row>
    <row r="35">
      <c r="N35" t="n">
        <v>25.77</v>
      </c>
      <c r="P35" t="n">
        <v>1.36</v>
      </c>
      <c r="R35" t="n">
        <v>134040</v>
      </c>
      <c r="T35" t="n">
        <v>1.36</v>
      </c>
    </row>
    <row r="36">
      <c r="N36" t="n">
        <v>25.82</v>
      </c>
      <c r="P36" t="n">
        <v>0.9399999999999999</v>
      </c>
      <c r="R36" t="n">
        <v>134150</v>
      </c>
      <c r="T36" t="n">
        <v>0.9399999999999999</v>
      </c>
    </row>
    <row r="37">
      <c r="N37" t="n">
        <v>25.89</v>
      </c>
      <c r="P37" t="n">
        <v>0.61</v>
      </c>
      <c r="R37" t="n">
        <v>134290</v>
      </c>
      <c r="T37" t="n">
        <v>0.61</v>
      </c>
    </row>
    <row r="38">
      <c r="N38" t="n">
        <v>26.07</v>
      </c>
      <c r="P38" t="n">
        <v>0.14</v>
      </c>
      <c r="R38" t="n">
        <v>134670</v>
      </c>
      <c r="T38" t="n">
        <v>0.14</v>
      </c>
    </row>
    <row r="39">
      <c r="N39" t="n">
        <v>26.19</v>
      </c>
      <c r="P39" t="n">
        <v>0.4</v>
      </c>
      <c r="R39" t="n">
        <v>134920</v>
      </c>
      <c r="T39" t="n">
        <v>0.4</v>
      </c>
    </row>
    <row r="40">
      <c r="N40" t="n">
        <v>26.32</v>
      </c>
      <c r="P40" t="n">
        <v>0.52</v>
      </c>
      <c r="R40" t="n">
        <v>135200</v>
      </c>
      <c r="T40" t="n">
        <v>0.52</v>
      </c>
    </row>
    <row r="41">
      <c r="N41" t="n">
        <v>26.36</v>
      </c>
      <c r="P41" t="n">
        <v>-0.03</v>
      </c>
      <c r="R41" t="n">
        <v>135280</v>
      </c>
      <c r="T41" t="n">
        <v>-0.03</v>
      </c>
    </row>
    <row r="42">
      <c r="N42" t="n">
        <v>26.42</v>
      </c>
      <c r="P42" t="n">
        <v>-0.01</v>
      </c>
      <c r="R42" t="n">
        <v>135410</v>
      </c>
      <c r="T42" t="n">
        <v>-0.01</v>
      </c>
    </row>
    <row r="43">
      <c r="N43" t="n">
        <v>26.49</v>
      </c>
      <c r="P43" t="n">
        <v>-0.6899999999999999</v>
      </c>
      <c r="R43" t="n">
        <v>135680</v>
      </c>
      <c r="T43" t="n">
        <v>-0.6899999999999999</v>
      </c>
    </row>
    <row r="44">
      <c r="N44" t="n">
        <v>26.61</v>
      </c>
      <c r="P44" t="n">
        <v>-1.7</v>
      </c>
      <c r="R44" t="n">
        <v>136410</v>
      </c>
      <c r="T44" t="n">
        <v>-1.7</v>
      </c>
    </row>
    <row r="45">
      <c r="N45" t="n">
        <v>26.71</v>
      </c>
      <c r="P45" t="n">
        <v>-1.35</v>
      </c>
      <c r="R45" t="n">
        <v>137020</v>
      </c>
      <c r="T45" t="n">
        <v>-1.35</v>
      </c>
    </row>
    <row r="46">
      <c r="N46" t="n">
        <v>26.79</v>
      </c>
      <c r="P46" t="n">
        <v>-2.2</v>
      </c>
      <c r="R46" t="n">
        <v>137510</v>
      </c>
      <c r="T46" t="n">
        <v>-2.2</v>
      </c>
    </row>
    <row r="47">
      <c r="N47" t="n">
        <v>26.91</v>
      </c>
      <c r="P47" t="n">
        <v>-1.74</v>
      </c>
      <c r="R47" t="n">
        <v>138250</v>
      </c>
      <c r="T47" t="n">
        <v>-1.74</v>
      </c>
    </row>
    <row r="48">
      <c r="N48" t="n">
        <v>26.96</v>
      </c>
      <c r="P48" t="n">
        <v>-1.34</v>
      </c>
      <c r="R48" t="n">
        <v>138550</v>
      </c>
      <c r="T48" t="n">
        <v>-1.34</v>
      </c>
    </row>
    <row r="49">
      <c r="N49" t="n">
        <v>27.01</v>
      </c>
      <c r="P49" t="n">
        <v>-1.19</v>
      </c>
      <c r="R49" t="n">
        <v>138860</v>
      </c>
      <c r="T49" t="n">
        <v>-1.19</v>
      </c>
    </row>
    <row r="50">
      <c r="N50" t="n">
        <v>27.09</v>
      </c>
      <c r="P50" t="n">
        <v>-2.33</v>
      </c>
      <c r="R50" t="n">
        <v>139350</v>
      </c>
      <c r="T50" t="n">
        <v>-2.33</v>
      </c>
    </row>
    <row r="51">
      <c r="N51" t="n">
        <v>27.16</v>
      </c>
      <c r="P51" t="n">
        <v>-2.69</v>
      </c>
      <c r="R51" t="n">
        <v>139780</v>
      </c>
      <c r="T51" t="n">
        <v>-2.69</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Z53"/>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KX97322-4</t>
        </is>
      </c>
      <c r="B2" t="n">
        <v>159.24433</v>
      </c>
      <c r="C2" t="n">
        <v>-0.028833</v>
      </c>
      <c r="D2" t="inlineStr">
        <is>
          <t>MgCa</t>
        </is>
      </c>
      <c r="N2" t="n">
        <v>198</v>
      </c>
      <c r="O2" t="n">
        <v>3.74</v>
      </c>
      <c r="P2" t="n">
        <v>27.49</v>
      </c>
      <c r="R2" t="n">
        <v>115480</v>
      </c>
      <c r="T2" t="n">
        <v>27.49</v>
      </c>
      <c r="V2" t="inlineStr">
        <is>
          <t>Shuai Zhang, Zhoufei Yu, Xun Gong, Yue Wang, Fengming Chang, Gerrit Lohmann, Yiquan Qi, Tiegang Li. 2021. Precession cycles of the El Niño/Southern oscillation-like system controlled by Pacific upper-ocean stratification. Communications Earth and Environment, 2, 239. doi: 10.1038/s43247-021-00305-5</t>
        </is>
      </c>
      <c r="W2" t="inlineStr">
        <is>
          <t>https://www.ncei.noaa.gov/pub/data/paleo/contributions_by_author/zhang2021/zhang2021.txt</t>
        </is>
      </c>
      <c r="X2" t="inlineStr">
        <is>
          <t>Chronology_Information | Chronology:</t>
        </is>
      </c>
      <c r="Y2" t="inlineStr">
        <is>
          <t>Variables | Variables format: Short_name &lt;tab&gt; what,material,error,units,seasonality,data_type,detail,method,data_format,additional_information</t>
        </is>
      </c>
      <c r="Z2" t="n">
        <v>-2362</v>
      </c>
    </row>
    <row r="3">
      <c r="N3" t="n">
        <v>199</v>
      </c>
      <c r="O3" t="n">
        <v>3.7</v>
      </c>
      <c r="P3" t="n">
        <v>27.38</v>
      </c>
      <c r="R3" t="n">
        <v>116260</v>
      </c>
      <c r="T3" t="n">
        <v>27.38</v>
      </c>
    </row>
    <row r="4">
      <c r="N4" t="n">
        <v>200</v>
      </c>
      <c r="O4" t="n">
        <v>3.71</v>
      </c>
      <c r="P4" t="n">
        <v>27.4</v>
      </c>
      <c r="R4" t="n">
        <v>116730</v>
      </c>
      <c r="T4" t="n">
        <v>27.4</v>
      </c>
    </row>
    <row r="5">
      <c r="N5" t="n">
        <v>201</v>
      </c>
      <c r="O5" t="n">
        <v>3.94</v>
      </c>
      <c r="P5" t="n">
        <v>28.01</v>
      </c>
      <c r="R5" t="n">
        <v>117090</v>
      </c>
      <c r="T5" t="n">
        <v>28.01</v>
      </c>
    </row>
    <row r="6">
      <c r="N6" t="n">
        <v>202</v>
      </c>
      <c r="O6" t="n">
        <v>4.11</v>
      </c>
      <c r="P6" t="n">
        <v>28.46</v>
      </c>
      <c r="R6" t="n">
        <v>117460</v>
      </c>
      <c r="T6" t="n">
        <v>28.46</v>
      </c>
    </row>
    <row r="7">
      <c r="N7" t="n">
        <v>203</v>
      </c>
      <c r="O7" t="n">
        <v>3.77</v>
      </c>
      <c r="P7" t="n">
        <v>27.56</v>
      </c>
      <c r="R7" t="n">
        <v>117820</v>
      </c>
      <c r="T7" t="n">
        <v>27.56</v>
      </c>
    </row>
    <row r="8">
      <c r="N8" t="n">
        <v>204</v>
      </c>
      <c r="O8" t="n">
        <v>3.78</v>
      </c>
      <c r="P8" t="n">
        <v>27.59</v>
      </c>
      <c r="R8" t="n">
        <v>118180</v>
      </c>
      <c r="T8" t="n">
        <v>27.59</v>
      </c>
    </row>
    <row r="9">
      <c r="N9" t="n">
        <v>205</v>
      </c>
      <c r="O9" t="n">
        <v>3.61</v>
      </c>
      <c r="P9" t="n">
        <v>27.12</v>
      </c>
      <c r="R9" t="n">
        <v>118550</v>
      </c>
      <c r="T9" t="n">
        <v>27.12</v>
      </c>
    </row>
    <row r="10">
      <c r="N10" t="n">
        <v>206</v>
      </c>
      <c r="O10" t="n">
        <v>3.68</v>
      </c>
      <c r="P10" t="n">
        <v>27.31</v>
      </c>
      <c r="R10" t="n">
        <v>118910</v>
      </c>
      <c r="T10" t="n">
        <v>27.31</v>
      </c>
    </row>
    <row r="11">
      <c r="N11" t="n">
        <v>207</v>
      </c>
      <c r="O11" t="n">
        <v>4.25</v>
      </c>
      <c r="P11" t="n">
        <v>28.79</v>
      </c>
      <c r="R11" t="n">
        <v>119280</v>
      </c>
      <c r="T11" t="n">
        <v>28.79</v>
      </c>
    </row>
    <row r="12">
      <c r="N12" t="n">
        <v>208</v>
      </c>
      <c r="O12" t="n">
        <v>3.76</v>
      </c>
      <c r="P12" t="n">
        <v>27.54</v>
      </c>
      <c r="R12" t="n">
        <v>119640</v>
      </c>
      <c r="T12" t="n">
        <v>27.54</v>
      </c>
    </row>
    <row r="13">
      <c r="N13" t="n">
        <v>209</v>
      </c>
      <c r="O13" t="n">
        <v>4.19</v>
      </c>
      <c r="P13" t="n">
        <v>28.65</v>
      </c>
      <c r="R13" t="n">
        <v>120000</v>
      </c>
      <c r="T13" t="n">
        <v>28.65</v>
      </c>
    </row>
    <row r="14">
      <c r="N14" t="n">
        <v>210</v>
      </c>
      <c r="O14" t="n">
        <v>4.21</v>
      </c>
      <c r="P14" t="n">
        <v>28.71</v>
      </c>
      <c r="R14" t="n">
        <v>120360</v>
      </c>
      <c r="T14" t="n">
        <v>28.71</v>
      </c>
    </row>
    <row r="15">
      <c r="N15" t="n">
        <v>211</v>
      </c>
      <c r="O15" t="n">
        <v>4.39</v>
      </c>
      <c r="P15" t="n">
        <v>29.14</v>
      </c>
      <c r="R15" t="n">
        <v>120600</v>
      </c>
      <c r="T15" t="n">
        <v>29.14</v>
      </c>
    </row>
    <row r="16">
      <c r="N16" t="n">
        <v>212</v>
      </c>
      <c r="O16" t="n">
        <v>3.96</v>
      </c>
      <c r="P16" t="n">
        <v>28.07</v>
      </c>
      <c r="R16" t="n">
        <v>120840</v>
      </c>
      <c r="T16" t="n">
        <v>28.07</v>
      </c>
    </row>
    <row r="17">
      <c r="N17" t="n">
        <v>213</v>
      </c>
      <c r="O17" t="n">
        <v>4.3</v>
      </c>
      <c r="P17" t="n">
        <v>28.94</v>
      </c>
      <c r="R17" t="n">
        <v>121080</v>
      </c>
      <c r="T17" t="n">
        <v>28.94</v>
      </c>
    </row>
    <row r="18">
      <c r="N18" t="n">
        <v>214</v>
      </c>
      <c r="O18" t="n">
        <v>4.31</v>
      </c>
      <c r="P18" t="n">
        <v>28.96</v>
      </c>
      <c r="R18" t="n">
        <v>121330</v>
      </c>
      <c r="T18" t="n">
        <v>28.96</v>
      </c>
    </row>
    <row r="19">
      <c r="N19" t="n">
        <v>215</v>
      </c>
      <c r="O19" t="n">
        <v>4.19</v>
      </c>
      <c r="P19" t="n">
        <v>28.65</v>
      </c>
      <c r="R19" t="n">
        <v>121570</v>
      </c>
      <c r="T19" t="n">
        <v>28.65</v>
      </c>
    </row>
    <row r="20">
      <c r="N20" t="n">
        <v>216</v>
      </c>
      <c r="O20" t="n">
        <v>4.55</v>
      </c>
      <c r="P20" t="n">
        <v>29.5</v>
      </c>
      <c r="R20" t="n">
        <v>121810</v>
      </c>
      <c r="T20" t="n">
        <v>29.5</v>
      </c>
    </row>
    <row r="21">
      <c r="N21" t="n">
        <v>217</v>
      </c>
      <c r="O21" t="n">
        <v>4.53</v>
      </c>
      <c r="P21" t="n">
        <v>29.46</v>
      </c>
      <c r="R21" t="n">
        <v>122050</v>
      </c>
      <c r="T21" t="n">
        <v>29.46</v>
      </c>
    </row>
    <row r="22">
      <c r="N22" t="n">
        <v>218</v>
      </c>
      <c r="O22" t="n">
        <v>4.39</v>
      </c>
      <c r="P22" t="n">
        <v>29.14</v>
      </c>
      <c r="R22" t="n">
        <v>122300</v>
      </c>
      <c r="T22" t="n">
        <v>29.14</v>
      </c>
    </row>
    <row r="23">
      <c r="N23" t="n">
        <v>219</v>
      </c>
      <c r="O23" t="n">
        <v>4.6</v>
      </c>
      <c r="P23" t="n">
        <v>29.62</v>
      </c>
      <c r="R23" t="n">
        <v>122540</v>
      </c>
      <c r="T23" t="n">
        <v>29.62</v>
      </c>
    </row>
    <row r="24">
      <c r="N24" t="n">
        <v>220</v>
      </c>
      <c r="O24" t="n">
        <v>4.58</v>
      </c>
      <c r="P24" t="n">
        <v>29.58</v>
      </c>
      <c r="R24" t="n">
        <v>122780</v>
      </c>
      <c r="T24" t="n">
        <v>29.58</v>
      </c>
    </row>
    <row r="25">
      <c r="N25" t="n">
        <v>221</v>
      </c>
      <c r="O25" t="n">
        <v>4.58</v>
      </c>
      <c r="P25" t="n">
        <v>29.58</v>
      </c>
      <c r="R25" t="n">
        <v>123160</v>
      </c>
      <c r="T25" t="n">
        <v>29.58</v>
      </c>
    </row>
    <row r="26">
      <c r="N26" t="n">
        <v>222</v>
      </c>
      <c r="O26" t="n">
        <v>4.82</v>
      </c>
      <c r="P26" t="n">
        <v>30.09</v>
      </c>
      <c r="R26" t="n">
        <v>123610</v>
      </c>
      <c r="T26" t="n">
        <v>30.09</v>
      </c>
    </row>
    <row r="27">
      <c r="N27" t="n">
        <v>223</v>
      </c>
      <c r="O27" t="n">
        <v>4.76</v>
      </c>
      <c r="P27" t="n">
        <v>29.97</v>
      </c>
      <c r="R27" t="n">
        <v>124070</v>
      </c>
      <c r="T27" t="n">
        <v>29.97</v>
      </c>
    </row>
    <row r="28">
      <c r="N28" t="n">
        <v>224</v>
      </c>
      <c r="O28" t="n">
        <v>4.66</v>
      </c>
      <c r="P28" t="n">
        <v>29.76</v>
      </c>
      <c r="R28" t="n">
        <v>124520</v>
      </c>
      <c r="T28" t="n">
        <v>29.76</v>
      </c>
    </row>
    <row r="29">
      <c r="N29" t="n">
        <v>225</v>
      </c>
      <c r="O29" t="n">
        <v>5.03</v>
      </c>
      <c r="P29" t="n">
        <v>30.54</v>
      </c>
      <c r="R29" t="n">
        <v>124980</v>
      </c>
      <c r="T29" t="n">
        <v>30.54</v>
      </c>
    </row>
    <row r="30">
      <c r="N30" t="n">
        <v>226</v>
      </c>
      <c r="O30" t="n">
        <v>4.8</v>
      </c>
      <c r="P30" t="n">
        <v>30.05</v>
      </c>
      <c r="R30" t="n">
        <v>125430</v>
      </c>
      <c r="T30" t="n">
        <v>30.05</v>
      </c>
    </row>
    <row r="31">
      <c r="N31" t="n">
        <v>227</v>
      </c>
      <c r="O31" t="n">
        <v>4.5</v>
      </c>
      <c r="P31" t="n">
        <v>29.4</v>
      </c>
      <c r="R31" t="n">
        <v>125890</v>
      </c>
      <c r="T31" t="n">
        <v>29.4</v>
      </c>
    </row>
    <row r="32">
      <c r="N32" t="n">
        <v>228</v>
      </c>
      <c r="O32" t="n">
        <v>4.83</v>
      </c>
      <c r="P32" t="n">
        <v>30.12</v>
      </c>
      <c r="R32" t="n">
        <v>126340</v>
      </c>
      <c r="T32" t="n">
        <v>30.12</v>
      </c>
    </row>
    <row r="33">
      <c r="N33" t="n">
        <v>229</v>
      </c>
      <c r="O33" t="n">
        <v>4.74</v>
      </c>
      <c r="P33" t="n">
        <v>29.92</v>
      </c>
      <c r="R33" t="n">
        <v>126790</v>
      </c>
      <c r="T33" t="n">
        <v>29.92</v>
      </c>
    </row>
    <row r="34">
      <c r="N34" t="n">
        <v>230</v>
      </c>
      <c r="O34" t="n">
        <v>4.69</v>
      </c>
      <c r="P34" t="n">
        <v>29.83</v>
      </c>
      <c r="R34" t="n">
        <v>127250</v>
      </c>
      <c r="T34" t="n">
        <v>29.83</v>
      </c>
    </row>
    <row r="35">
      <c r="N35" t="n">
        <v>231</v>
      </c>
      <c r="O35" t="n">
        <v>4.73</v>
      </c>
      <c r="P35" t="n">
        <v>29.9</v>
      </c>
      <c r="R35" t="n">
        <v>127700</v>
      </c>
      <c r="T35" t="n">
        <v>29.9</v>
      </c>
    </row>
    <row r="36">
      <c r="N36" t="n">
        <v>232</v>
      </c>
      <c r="O36" t="n">
        <v>5</v>
      </c>
      <c r="P36" t="n">
        <v>30.48</v>
      </c>
      <c r="R36" t="n">
        <v>128160</v>
      </c>
      <c r="T36" t="n">
        <v>30.48</v>
      </c>
    </row>
    <row r="37">
      <c r="N37" t="n">
        <v>233</v>
      </c>
      <c r="O37" t="n">
        <v>4.86</v>
      </c>
      <c r="P37" t="n">
        <v>30.18</v>
      </c>
      <c r="R37" t="n">
        <v>128610</v>
      </c>
      <c r="T37" t="n">
        <v>30.18</v>
      </c>
    </row>
    <row r="38">
      <c r="N38" t="n">
        <v>234</v>
      </c>
      <c r="O38" t="n">
        <v>4.95</v>
      </c>
      <c r="P38" t="n">
        <v>30.38</v>
      </c>
      <c r="R38" t="n">
        <v>129070</v>
      </c>
      <c r="T38" t="n">
        <v>30.38</v>
      </c>
    </row>
    <row r="39">
      <c r="N39" t="n">
        <v>235</v>
      </c>
      <c r="O39" t="n">
        <v>4.98</v>
      </c>
      <c r="P39" t="n">
        <v>30.43</v>
      </c>
      <c r="R39" t="n">
        <v>129520</v>
      </c>
      <c r="T39" t="n">
        <v>30.43</v>
      </c>
    </row>
    <row r="40">
      <c r="N40" t="n">
        <v>236</v>
      </c>
      <c r="O40" t="n">
        <v>4.97</v>
      </c>
      <c r="P40" t="n">
        <v>30.41</v>
      </c>
      <c r="R40" t="n">
        <v>129980</v>
      </c>
      <c r="T40" t="n">
        <v>30.41</v>
      </c>
    </row>
    <row r="41">
      <c r="N41" t="n">
        <v>237</v>
      </c>
      <c r="O41" t="n">
        <v>4.9</v>
      </c>
      <c r="P41" t="n">
        <v>30.27</v>
      </c>
      <c r="R41" t="n">
        <v>130430</v>
      </c>
      <c r="T41" t="n">
        <v>30.27</v>
      </c>
    </row>
    <row r="42">
      <c r="N42" t="n">
        <v>238</v>
      </c>
      <c r="O42" t="n">
        <v>4.55</v>
      </c>
      <c r="P42" t="n">
        <v>29.51</v>
      </c>
      <c r="R42" t="n">
        <v>130840</v>
      </c>
      <c r="T42" t="n">
        <v>29.51</v>
      </c>
    </row>
    <row r="43">
      <c r="N43" t="n">
        <v>239</v>
      </c>
      <c r="O43" t="n">
        <v>4.27</v>
      </c>
      <c r="P43" t="n">
        <v>28.85</v>
      </c>
      <c r="R43" t="n">
        <v>131240</v>
      </c>
      <c r="T43" t="n">
        <v>28.85</v>
      </c>
    </row>
    <row r="44">
      <c r="N44" t="n">
        <v>240</v>
      </c>
      <c r="O44" t="n">
        <v>3.79</v>
      </c>
      <c r="P44" t="n">
        <v>27.62</v>
      </c>
      <c r="R44" t="n">
        <v>131650</v>
      </c>
      <c r="T44" t="n">
        <v>27.62</v>
      </c>
    </row>
    <row r="45">
      <c r="N45" t="n">
        <v>241</v>
      </c>
      <c r="O45" t="n">
        <v>3.98</v>
      </c>
      <c r="P45" t="n">
        <v>28.12</v>
      </c>
      <c r="R45" t="n">
        <v>132050</v>
      </c>
      <c r="T45" t="n">
        <v>28.12</v>
      </c>
    </row>
    <row r="46">
      <c r="N46" t="n">
        <v>242</v>
      </c>
      <c r="O46" t="n">
        <v>4.04</v>
      </c>
      <c r="P46" t="n">
        <v>28.28</v>
      </c>
      <c r="R46" t="n">
        <v>132460</v>
      </c>
      <c r="T46" t="n">
        <v>28.28</v>
      </c>
    </row>
    <row r="47">
      <c r="N47" t="n">
        <v>243</v>
      </c>
      <c r="O47" t="n">
        <v>3.86</v>
      </c>
      <c r="P47" t="n">
        <v>27.82</v>
      </c>
      <c r="R47" t="n">
        <v>132860</v>
      </c>
      <c r="T47" t="n">
        <v>27.82</v>
      </c>
    </row>
    <row r="48">
      <c r="N48" t="n">
        <v>244</v>
      </c>
      <c r="O48" t="n">
        <v>3.92</v>
      </c>
      <c r="P48" t="n">
        <v>27.97</v>
      </c>
      <c r="R48" t="n">
        <v>133390</v>
      </c>
      <c r="T48" t="n">
        <v>27.97</v>
      </c>
    </row>
    <row r="49">
      <c r="N49" t="n">
        <v>245</v>
      </c>
      <c r="O49" t="n">
        <v>3.62</v>
      </c>
      <c r="P49" t="n">
        <v>27.16</v>
      </c>
      <c r="R49" t="n">
        <v>134000</v>
      </c>
      <c r="T49" t="n">
        <v>27.16</v>
      </c>
    </row>
    <row r="50">
      <c r="N50" t="n">
        <v>246</v>
      </c>
      <c r="O50" t="n">
        <v>3.87</v>
      </c>
      <c r="P50" t="n">
        <v>27.85</v>
      </c>
      <c r="R50" t="n">
        <v>134950</v>
      </c>
      <c r="T50" t="n">
        <v>27.85</v>
      </c>
    </row>
    <row r="51">
      <c r="N51" t="n">
        <v>247</v>
      </c>
      <c r="O51" t="n">
        <v>3.65</v>
      </c>
      <c r="P51" t="n">
        <v>27.24</v>
      </c>
      <c r="R51" t="n">
        <v>136160</v>
      </c>
      <c r="T51" t="n">
        <v>27.24</v>
      </c>
    </row>
    <row r="52">
      <c r="N52" t="n">
        <v>248</v>
      </c>
      <c r="O52" t="n">
        <v>3.8</v>
      </c>
      <c r="P52" t="n">
        <v>27.66</v>
      </c>
      <c r="R52" t="n">
        <v>137510</v>
      </c>
      <c r="T52" t="n">
        <v>27.66</v>
      </c>
    </row>
    <row r="53">
      <c r="N53" t="n">
        <v>249</v>
      </c>
      <c r="O53" t="n">
        <v>3.77</v>
      </c>
      <c r="P53" t="n">
        <v>27.57</v>
      </c>
      <c r="R53" t="n">
        <v>139030</v>
      </c>
      <c r="T53" t="n">
        <v>27.57</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ODP 806B</t>
        </is>
      </c>
      <c r="B2" t="n">
        <v>159.35</v>
      </c>
      <c r="C2" t="n">
        <v>0.32</v>
      </c>
      <c r="D2" t="inlineStr">
        <is>
          <t>MgCa</t>
        </is>
      </c>
      <c r="N2" t="n">
        <v>248</v>
      </c>
      <c r="O2" t="n">
        <v>3.76</v>
      </c>
      <c r="P2" t="n">
        <v>28.3</v>
      </c>
      <c r="R2" t="n">
        <v>117200</v>
      </c>
      <c r="T2" t="n">
        <v>28.3</v>
      </c>
      <c r="V2" t="inlineStr">
        <is>
          <t>Lea, D.W., D.K. Pak, and H.J. Spero. 2000. Climate impact of late Quaternary equatorial Pacific sea surface temperature variations. Science, 289(5485), 1719-1724. doi: 10.1126/science.289.5485.1719</t>
        </is>
      </c>
      <c r="W2" t="inlineStr">
        <is>
          <t>https://www.ncei.noaa.gov/pub/data/paleo/paleocean/sediment_files/complete/odp806b-tab.txt</t>
        </is>
      </c>
      <c r="X2" t="inlineStr"/>
      <c r="Y2" t="inlineStr">
        <is>
          <t>Mg/Ca data on cleaned G. ruber shells by ICP-MS, SST estimates based on calibration in Lea et al., 2000, O18w calculated from O18ruber measurements, Mg/Ca-temperature estimates and Orbulina low light paleotemperature equations (Bemis et al., 1998). | in Lea et al., 2000, O18w calculated from O18ruber measurements, Mg/Ca-temperature estimates and Orbulina low light paleotemperature equations (Bemis et al., 1998). | Variables: depth         Depth (cm) yrBP          radiocarbon years B.P. (Libby half-life; B.P. = 1950) d18Og.rub     delta O18 PDB (Globigerinoides ruber) d18Osmow      delta O18 SMOW Mg/Ca         Magnesium/Calcium ratio</t>
        </is>
      </c>
      <c r="Z2" t="n">
        <v>-2520</v>
      </c>
    </row>
    <row r="3">
      <c r="N3" t="n">
        <v>255</v>
      </c>
      <c r="O3" t="n">
        <v>3.94</v>
      </c>
      <c r="P3" t="n">
        <v>28.8</v>
      </c>
      <c r="R3" t="n">
        <v>122000</v>
      </c>
      <c r="T3" t="n">
        <v>28.8</v>
      </c>
    </row>
    <row r="4">
      <c r="N4" t="n">
        <v>258</v>
      </c>
      <c r="O4" t="n">
        <v>4.22</v>
      </c>
      <c r="P4" t="n">
        <v>29.6</v>
      </c>
      <c r="R4" t="n">
        <v>123400</v>
      </c>
      <c r="T4" t="n">
        <v>29.6</v>
      </c>
    </row>
    <row r="5">
      <c r="N5" t="n">
        <v>263</v>
      </c>
      <c r="O5" t="n">
        <v>4.05</v>
      </c>
      <c r="P5" t="n">
        <v>29.1</v>
      </c>
      <c r="R5" t="n">
        <v>125700</v>
      </c>
      <c r="T5" t="n">
        <v>29.1</v>
      </c>
    </row>
    <row r="6">
      <c r="N6" t="n">
        <v>268</v>
      </c>
      <c r="O6" t="n">
        <v>4.18</v>
      </c>
      <c r="P6" t="n">
        <v>29.5</v>
      </c>
      <c r="R6" t="n">
        <v>128000</v>
      </c>
      <c r="T6" t="n">
        <v>29.5</v>
      </c>
    </row>
    <row r="7">
      <c r="N7" t="n">
        <v>270</v>
      </c>
      <c r="O7" t="n">
        <v>3.99</v>
      </c>
      <c r="P7" t="n">
        <v>29</v>
      </c>
      <c r="R7" t="n">
        <v>128900</v>
      </c>
      <c r="T7" t="n">
        <v>29</v>
      </c>
    </row>
    <row r="8">
      <c r="N8" t="n">
        <v>273</v>
      </c>
      <c r="O8" t="n">
        <v>3.84</v>
      </c>
      <c r="P8" t="n">
        <v>28.5</v>
      </c>
      <c r="R8" t="n">
        <v>130200</v>
      </c>
      <c r="T8" t="n">
        <v>28.5</v>
      </c>
    </row>
    <row r="9">
      <c r="N9" t="n">
        <v>278</v>
      </c>
      <c r="O9" t="n">
        <v>3.55</v>
      </c>
      <c r="P9" t="n">
        <v>27.7</v>
      </c>
      <c r="R9" t="n">
        <v>132400</v>
      </c>
      <c r="T9" t="n">
        <v>27.7</v>
      </c>
    </row>
    <row r="10">
      <c r="N10" t="n">
        <v>280</v>
      </c>
      <c r="O10" t="n">
        <v>3.23</v>
      </c>
      <c r="P10" t="n">
        <v>26.6</v>
      </c>
      <c r="R10" t="n">
        <v>133300</v>
      </c>
      <c r="T10" t="n">
        <v>26.6</v>
      </c>
    </row>
    <row r="11">
      <c r="N11" t="n">
        <v>284</v>
      </c>
      <c r="O11" t="n">
        <v>3.33</v>
      </c>
      <c r="P11" t="n">
        <v>26.9</v>
      </c>
      <c r="R11" t="n">
        <v>135000</v>
      </c>
      <c r="T11" t="n">
        <v>26.9</v>
      </c>
    </row>
    <row r="12">
      <c r="N12" t="n">
        <v>288</v>
      </c>
      <c r="O12" t="n">
        <v>3.19</v>
      </c>
      <c r="P12" t="n">
        <v>26.4</v>
      </c>
      <c r="R12" t="n">
        <v>138400</v>
      </c>
      <c r="T12" t="n">
        <v>26.4</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Z14"/>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RC09-166</t>
        </is>
      </c>
      <c r="B2" t="n">
        <v>44.4</v>
      </c>
      <c r="C2" t="n">
        <v>12.15</v>
      </c>
      <c r="D2" t="inlineStr">
        <is>
          <t>UK37</t>
        </is>
      </c>
      <c r="N2" t="n">
        <v>666.5</v>
      </c>
      <c r="O2" t="n">
        <v>0.986</v>
      </c>
      <c r="P2" t="n">
        <v>29.1</v>
      </c>
      <c r="R2" t="n">
        <v>116428</v>
      </c>
      <c r="T2" t="n">
        <v>29.1</v>
      </c>
      <c r="V2" t="inlineStr">
        <is>
          <t>Jessica E. Tierney, Peter B. deMenocal, Paul D. Zander. 2017. A climatic context for the out-of-Africa migration. Geology, 45(11), 1023-1026. doi: 10.1130/G39457.1</t>
        </is>
      </c>
      <c r="W2" t="inlineStr">
        <is>
          <t>https://www.ncei.noaa.gov/pub/data/paleo/contributions_by_author/tierney2017b/tierney2017b.txt</t>
        </is>
      </c>
      <c r="X2" t="inlineStr">
        <is>
          <t>Chronology_Information | Chronology: This chronology describes the 14C dates on core RC09-166, as well as the tiepoints (other_date) that were used to constrain ages beyond the radiocarbon period. The tiepoints were made between the planktonic d18O G. ruber data and the LR04 benthic stack. "Calibrated_dates" refer to posterior means from OxCal 4.2</t>
        </is>
      </c>
      <c r="Y2" t="inlineStr">
        <is>
          <t>Labcode	depth_top	depth_bottom	mat_dated	14C_date	14C_1s_err	delta_R	delta_R_1s_err	other_date	other_1s_err	other_type	calibrated_date	calibrated_1s_err	calib_method OS-121824	5	6	Globigerinoides ruber (white)	2570	15	311	24	-999	-999	-999	1884	44	OxCal 4.2 OS-121825	25	26	Globigerinoides ruber (white)	2970	15	311	24	-999	-999	-999	2359	44	OxCal 4.2 OS-121826	55	56	Globigerinoides ruber (white)	5280	20	311	24	-999	-999	-999	5333	50	OxCal 4.2 OS-121827	75	76	Globigerinoides ruber (white)	7230	25	311	24	-999	-999	-999	7443	37	OxCal 4.2 OS-121828	95	96	Globigerinoides ruber (white)	8810	35	311	24	-999	-999	-999	9143	71	OxCal 4.2 | Variables | Data variables follow are preceded by "##" in columns one and two. | Data line variables format:  one per line, shortname-tab-variable components (what, material, error, units, seasonality, data type,detail, method, C or N for Character or Numeric data</t>
        </is>
      </c>
      <c r="Z2" t="n">
        <v>-738</v>
      </c>
    </row>
    <row r="3">
      <c r="N3" t="n">
        <v>676.5</v>
      </c>
      <c r="O3" t="n">
        <v>0.984</v>
      </c>
      <c r="P3" t="n">
        <v>29</v>
      </c>
      <c r="R3" t="n">
        <v>118378</v>
      </c>
      <c r="T3" t="n">
        <v>29</v>
      </c>
    </row>
    <row r="4">
      <c r="N4" t="n">
        <v>686.5</v>
      </c>
      <c r="O4" t="n">
        <v>0.993</v>
      </c>
      <c r="P4" t="n">
        <v>29.4</v>
      </c>
      <c r="R4" t="n">
        <v>120327</v>
      </c>
      <c r="T4" t="n">
        <v>29.4</v>
      </c>
    </row>
    <row r="5">
      <c r="N5" t="n">
        <v>696.5</v>
      </c>
      <c r="O5" t="n">
        <v>0.991</v>
      </c>
      <c r="P5" t="n">
        <v>29.3</v>
      </c>
      <c r="R5" t="n">
        <v>122287</v>
      </c>
      <c r="T5" t="n">
        <v>29.3</v>
      </c>
    </row>
    <row r="6">
      <c r="N6" t="n">
        <v>706.5</v>
      </c>
      <c r="O6" t="n">
        <v>0.983</v>
      </c>
      <c r="P6" t="n">
        <v>29</v>
      </c>
      <c r="R6" t="n">
        <v>124241</v>
      </c>
      <c r="T6" t="n">
        <v>29</v>
      </c>
    </row>
    <row r="7">
      <c r="N7" t="n">
        <v>716.5</v>
      </c>
      <c r="O7" t="n">
        <v>0.982</v>
      </c>
      <c r="P7" t="n">
        <v>29</v>
      </c>
      <c r="R7" t="n">
        <v>126192</v>
      </c>
      <c r="T7" t="n">
        <v>29</v>
      </c>
    </row>
    <row r="8">
      <c r="N8" t="n">
        <v>726.5</v>
      </c>
      <c r="O8" t="n">
        <v>0.985</v>
      </c>
      <c r="P8" t="n">
        <v>29.1</v>
      </c>
      <c r="R8" t="n">
        <v>128134</v>
      </c>
      <c r="T8" t="n">
        <v>29.1</v>
      </c>
    </row>
    <row r="9">
      <c r="N9" t="n">
        <v>736.5</v>
      </c>
      <c r="O9" t="n">
        <v>0.991</v>
      </c>
      <c r="P9" t="n">
        <v>29.3</v>
      </c>
      <c r="R9" t="n">
        <v>130055</v>
      </c>
      <c r="T9" t="n">
        <v>29.3</v>
      </c>
    </row>
    <row r="10">
      <c r="N10" t="n">
        <v>746.5</v>
      </c>
      <c r="O10" t="n">
        <v>0.967</v>
      </c>
      <c r="P10" t="n">
        <v>28.3</v>
      </c>
      <c r="R10" t="n">
        <v>131953</v>
      </c>
      <c r="T10" t="n">
        <v>28.3</v>
      </c>
    </row>
    <row r="11">
      <c r="N11" t="n">
        <v>756.5</v>
      </c>
      <c r="O11" t="n">
        <v>0.981</v>
      </c>
      <c r="P11" t="n">
        <v>28.9</v>
      </c>
      <c r="R11" t="n">
        <v>133785</v>
      </c>
      <c r="T11" t="n">
        <v>28.9</v>
      </c>
    </row>
    <row r="12">
      <c r="N12" t="n">
        <v>766.5</v>
      </c>
      <c r="O12" t="n">
        <v>0.971</v>
      </c>
      <c r="P12" t="n">
        <v>28.5</v>
      </c>
      <c r="R12" t="n">
        <v>135533</v>
      </c>
      <c r="T12" t="n">
        <v>28.5</v>
      </c>
    </row>
    <row r="13">
      <c r="N13" t="n">
        <v>776.5</v>
      </c>
      <c r="O13" t="n">
        <v>0.971</v>
      </c>
      <c r="P13" t="n">
        <v>28.5</v>
      </c>
      <c r="R13" t="n">
        <v>137535</v>
      </c>
      <c r="T13" t="n">
        <v>28.5</v>
      </c>
    </row>
    <row r="14">
      <c r="N14" t="n">
        <v>786.5</v>
      </c>
      <c r="O14" t="n">
        <v>0.973</v>
      </c>
      <c r="P14" t="n">
        <v>28.6</v>
      </c>
      <c r="R14" t="n">
        <v>139707</v>
      </c>
      <c r="T14" t="n">
        <v>28.6</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MD85668</t>
        </is>
      </c>
      <c r="B2" t="n">
        <v>46.03</v>
      </c>
      <c r="C2" t="n">
        <v>-0.02</v>
      </c>
      <c r="D2" t="inlineStr">
        <is>
          <t>UK37</t>
        </is>
      </c>
      <c r="P2" t="n">
        <v>27</v>
      </c>
      <c r="R2" t="n">
        <v>116700</v>
      </c>
      <c r="T2" t="n">
        <v>27</v>
      </c>
      <c r="V2" t="inlineStr">
        <is>
          <t>Bard, E., F. Rostek, and C. Sonzogni. 1997. Interhemispheric synchrony of the last deglaciation inferred from alkenone palaeothermometry. Nature, 385, 707-710. doi: 10.1038/385707a0</t>
        </is>
      </c>
      <c r="W2" t="inlineStr">
        <is>
          <t>https://www.ncei.noaa.gov/pub/data/paleo/paleocean/sediment_files/complete/m85668eb-tab.txt</t>
        </is>
      </c>
      <c r="X2" t="inlineStr"/>
      <c r="Y2" t="inlineStr">
        <is>
          <t>Variables: depth         Depth (cm) calyrBP       calendar years B.P. (B.P. = 1950) sst-uk37      Sea Surface Temperature from Uk'37 (C)</t>
        </is>
      </c>
      <c r="Z2" t="n">
        <v>-4020</v>
      </c>
    </row>
    <row r="3">
      <c r="P3" t="n">
        <v>27.6</v>
      </c>
      <c r="R3" t="n">
        <v>120900</v>
      </c>
      <c r="T3" t="n">
        <v>27.6</v>
      </c>
    </row>
    <row r="4">
      <c r="P4" t="n">
        <v>27.7</v>
      </c>
      <c r="R4" t="n">
        <v>124200</v>
      </c>
      <c r="T4" t="n">
        <v>27.7</v>
      </c>
    </row>
    <row r="5">
      <c r="P5" t="n">
        <v>28.1</v>
      </c>
      <c r="R5" t="n">
        <v>126300</v>
      </c>
      <c r="T5" t="n">
        <v>28.1</v>
      </c>
    </row>
    <row r="6">
      <c r="P6" t="n">
        <v>27.8</v>
      </c>
      <c r="R6" t="n">
        <v>128300</v>
      </c>
      <c r="T6" t="n">
        <v>27.8</v>
      </c>
    </row>
    <row r="7">
      <c r="P7" t="n">
        <v>27.2</v>
      </c>
      <c r="R7" t="n">
        <v>130400</v>
      </c>
      <c r="T7" t="n">
        <v>27.2</v>
      </c>
    </row>
    <row r="8">
      <c r="P8" t="n">
        <v>27</v>
      </c>
      <c r="R8" t="n">
        <v>132500</v>
      </c>
      <c r="T8" t="n">
        <v>27</v>
      </c>
    </row>
    <row r="9">
      <c r="P9" t="n">
        <v>26.3</v>
      </c>
      <c r="R9" t="n">
        <v>134700</v>
      </c>
      <c r="T9" t="n">
        <v>26.3</v>
      </c>
    </row>
    <row r="10">
      <c r="P10" t="n">
        <v>26.3</v>
      </c>
      <c r="R10" t="n">
        <v>136900</v>
      </c>
      <c r="T10" t="n">
        <v>26.3</v>
      </c>
    </row>
    <row r="11">
      <c r="P11" t="n">
        <v>26.2</v>
      </c>
      <c r="R11" t="n">
        <v>139100</v>
      </c>
      <c r="T11" t="n">
        <v>26.2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Z14"/>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MD90963</t>
        </is>
      </c>
      <c r="B2" t="n">
        <v>73.88</v>
      </c>
      <c r="C2" t="n">
        <v>5.07</v>
      </c>
      <c r="D2" t="inlineStr">
        <is>
          <t>UK37</t>
        </is>
      </c>
      <c r="P2" t="n">
        <v>27.6</v>
      </c>
      <c r="R2" t="n">
        <v>115300</v>
      </c>
      <c r="T2" t="n">
        <v>27.6</v>
      </c>
      <c r="V2" t="inlineStr">
        <is>
          <t>Bard, E., F. Rostek, and C. Sonzogni. 1997. Interhemispheric synchrony of the last deglaciation inferred from alkenone palaeothermometry. Nature, 385, 707-710. doi: 10.1038/385707a0</t>
        </is>
      </c>
      <c r="W2" t="inlineStr">
        <is>
          <t>https://www.ncei.noaa.gov/pub/data/paleo/paleocean/sediment_files/complete/md90963-tab.txt</t>
        </is>
      </c>
      <c r="X2" t="inlineStr">
        <is>
          <t>Geochemical and geochronological data, together with some interpretations, can be found in Rostek et al. (1993)</t>
        </is>
      </c>
      <c r="Y2" t="inlineStr">
        <is>
          <t>Variables: depth         Depth (cm) calyrBP       calendar years B.P. (B.P. = 1950) sst-uk37      Sea Surface Temperature from Uk'37 (C)</t>
        </is>
      </c>
      <c r="Z2" t="n">
        <v>-2446</v>
      </c>
    </row>
    <row r="3">
      <c r="P3" t="n">
        <v>27</v>
      </c>
      <c r="R3" t="n">
        <v>117700</v>
      </c>
      <c r="T3" t="n">
        <v>27</v>
      </c>
    </row>
    <row r="4">
      <c r="P4" t="n">
        <v>27.4</v>
      </c>
      <c r="R4" t="n">
        <v>118900</v>
      </c>
      <c r="T4" t="n">
        <v>27.4</v>
      </c>
    </row>
    <row r="5">
      <c r="P5" t="n">
        <v>28</v>
      </c>
      <c r="R5" t="n">
        <v>121200</v>
      </c>
      <c r="T5" t="n">
        <v>28</v>
      </c>
    </row>
    <row r="6">
      <c r="P6" t="n">
        <v>27.5</v>
      </c>
      <c r="R6" t="n">
        <v>122200</v>
      </c>
      <c r="T6" t="n">
        <v>27.5</v>
      </c>
    </row>
    <row r="7">
      <c r="P7" t="n">
        <v>27.5</v>
      </c>
      <c r="R7" t="n">
        <v>125700</v>
      </c>
      <c r="T7" t="n">
        <v>27.5</v>
      </c>
    </row>
    <row r="8">
      <c r="P8" t="n">
        <v>27</v>
      </c>
      <c r="R8" t="n">
        <v>128100</v>
      </c>
      <c r="T8" t="n">
        <v>27</v>
      </c>
    </row>
    <row r="9">
      <c r="P9" t="n">
        <v>27.4</v>
      </c>
      <c r="R9" t="n">
        <v>130400</v>
      </c>
      <c r="T9" t="n">
        <v>27.4</v>
      </c>
    </row>
    <row r="10">
      <c r="P10" t="n">
        <v>27.4</v>
      </c>
      <c r="R10" t="n">
        <v>131500</v>
      </c>
      <c r="T10" t="n">
        <v>27.4</v>
      </c>
    </row>
    <row r="11">
      <c r="P11" t="n">
        <v>27.4</v>
      </c>
      <c r="R11" t="n">
        <v>132900</v>
      </c>
      <c r="T11" t="n">
        <v>27.4</v>
      </c>
    </row>
    <row r="12">
      <c r="P12" t="n">
        <v>27.5</v>
      </c>
      <c r="R12" t="n">
        <v>134700</v>
      </c>
      <c r="T12" t="n">
        <v>27.5</v>
      </c>
    </row>
    <row r="13">
      <c r="P13" t="n">
        <v>27.3</v>
      </c>
      <c r="R13" t="n">
        <v>136700</v>
      </c>
      <c r="T13" t="n">
        <v>27.3</v>
      </c>
    </row>
    <row r="14">
      <c r="P14" t="n">
        <v>27</v>
      </c>
      <c r="R14" t="n">
        <v>138800</v>
      </c>
      <c r="T14" t="n">
        <v>27</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Z21"/>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MD85674</t>
        </is>
      </c>
      <c r="B2" t="n">
        <v>50.43</v>
      </c>
      <c r="C2" t="n">
        <v>3.18</v>
      </c>
      <c r="D2" t="inlineStr">
        <is>
          <t>UK37</t>
        </is>
      </c>
      <c r="P2" t="n">
        <v>26.7</v>
      </c>
      <c r="R2" t="n">
        <v>116200</v>
      </c>
      <c r="T2" t="n">
        <v>26.7</v>
      </c>
      <c r="V2" t="inlineStr">
        <is>
          <t>Bard, E., F. Rostek, and C. Sonzogni. 1997. Interhemispheric synchrony of the last deglaciation inferred from alkenone palaeothermometry. Nature, 385, 707-710. doi: 10.1038/385707a0</t>
        </is>
      </c>
      <c r="W2" t="inlineStr">
        <is>
          <t>https://www.ncei.noaa.gov/pub/data/paleo/paleocean/sediment_files/complete/md85674-tab.txt</t>
        </is>
      </c>
      <c r="X2" t="inlineStr"/>
      <c r="Y2" t="inlineStr">
        <is>
          <t>Variables: depth         Depth (cm) calyrBP       calendar years B.P. (B.P. = 1950) sst-uk37      Sea Surface Temperature from Uk'37 (C)</t>
        </is>
      </c>
      <c r="Z2" t="n">
        <v>-4875</v>
      </c>
    </row>
    <row r="3">
      <c r="P3" t="n">
        <v>26.7</v>
      </c>
      <c r="R3" t="n">
        <v>116700</v>
      </c>
      <c r="T3" t="n">
        <v>26.7</v>
      </c>
    </row>
    <row r="4">
      <c r="P4" t="n">
        <v>26.8</v>
      </c>
      <c r="R4" t="n">
        <v>117500</v>
      </c>
      <c r="T4" t="n">
        <v>26.8</v>
      </c>
    </row>
    <row r="5">
      <c r="P5" t="n">
        <v>27</v>
      </c>
      <c r="R5" t="n">
        <v>118700</v>
      </c>
      <c r="T5" t="n">
        <v>27</v>
      </c>
    </row>
    <row r="6">
      <c r="P6" t="n">
        <v>27.2</v>
      </c>
      <c r="R6" t="n">
        <v>119800</v>
      </c>
      <c r="T6" t="n">
        <v>27.2</v>
      </c>
    </row>
    <row r="7">
      <c r="P7" t="n">
        <v>27.6</v>
      </c>
      <c r="R7" t="n">
        <v>120900</v>
      </c>
      <c r="T7" t="n">
        <v>27.6</v>
      </c>
    </row>
    <row r="8">
      <c r="P8" t="n">
        <v>27.7</v>
      </c>
      <c r="R8" t="n">
        <v>121900</v>
      </c>
      <c r="T8" t="n">
        <v>27.7</v>
      </c>
    </row>
    <row r="9">
      <c r="P9" t="n">
        <v>27.7</v>
      </c>
      <c r="R9" t="n">
        <v>123000</v>
      </c>
      <c r="T9" t="n">
        <v>27.7</v>
      </c>
    </row>
    <row r="10">
      <c r="P10" t="n">
        <v>27.8</v>
      </c>
      <c r="R10" t="n">
        <v>124000</v>
      </c>
      <c r="T10" t="n">
        <v>27.8</v>
      </c>
    </row>
    <row r="11">
      <c r="P11" t="n">
        <v>27.9</v>
      </c>
      <c r="R11" t="n">
        <v>126100</v>
      </c>
      <c r="T11" t="n">
        <v>27.9</v>
      </c>
    </row>
    <row r="12">
      <c r="P12" t="n">
        <v>27.8</v>
      </c>
      <c r="R12" t="n">
        <v>127600</v>
      </c>
      <c r="T12" t="n">
        <v>27.8</v>
      </c>
    </row>
    <row r="13">
      <c r="P13" t="n">
        <v>27.8</v>
      </c>
      <c r="R13" t="n">
        <v>129200</v>
      </c>
      <c r="T13" t="n">
        <v>27.8</v>
      </c>
    </row>
    <row r="14">
      <c r="P14" t="n">
        <v>27.5</v>
      </c>
      <c r="R14" t="n">
        <v>130700</v>
      </c>
      <c r="T14" t="n">
        <v>27.5</v>
      </c>
    </row>
    <row r="15">
      <c r="P15" t="n">
        <v>27.3</v>
      </c>
      <c r="R15" t="n">
        <v>132400</v>
      </c>
      <c r="T15" t="n">
        <v>27.3</v>
      </c>
    </row>
    <row r="16">
      <c r="P16" t="n">
        <v>26.9</v>
      </c>
      <c r="R16" t="n">
        <v>133400</v>
      </c>
      <c r="T16" t="n">
        <v>26.9</v>
      </c>
    </row>
    <row r="17">
      <c r="P17" t="n">
        <v>26.3</v>
      </c>
      <c r="R17" t="n">
        <v>134600</v>
      </c>
      <c r="T17" t="n">
        <v>26.3</v>
      </c>
    </row>
    <row r="18">
      <c r="P18" t="n">
        <v>26</v>
      </c>
      <c r="R18" t="n">
        <v>135600</v>
      </c>
      <c r="T18" t="n">
        <v>26</v>
      </c>
    </row>
    <row r="19">
      <c r="P19" t="n">
        <v>26.1</v>
      </c>
      <c r="R19" t="n">
        <v>136900</v>
      </c>
      <c r="T19" t="n">
        <v>26.1</v>
      </c>
    </row>
    <row r="20">
      <c r="P20" t="n">
        <v>26</v>
      </c>
      <c r="R20" t="n">
        <v>138200</v>
      </c>
      <c r="T20" t="n">
        <v>26</v>
      </c>
    </row>
    <row r="21">
      <c r="P21" t="n">
        <v>26.1</v>
      </c>
      <c r="R21" t="n">
        <v>139200</v>
      </c>
      <c r="T21" t="n">
        <v>26.1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TY93-929/P</t>
        </is>
      </c>
      <c r="B2" t="n">
        <v>53.25</v>
      </c>
      <c r="C2" t="n">
        <v>13.7</v>
      </c>
      <c r="D2" t="inlineStr">
        <is>
          <t>UK37</t>
        </is>
      </c>
      <c r="P2" t="n">
        <v>27.2</v>
      </c>
      <c r="R2" t="n">
        <v>117300</v>
      </c>
      <c r="T2" t="n">
        <v>27.2</v>
      </c>
      <c r="V2" t="inlineStr">
        <is>
          <t>Bard, E., F. Rostek, and C. Sonzogni. 1997. Interhemispheric synchrony of the last deglaciation inferred from alkenone palaeothermometry. Nature, 385, 707-710. doi: 10.1038/385707a0</t>
        </is>
      </c>
      <c r="W2" t="inlineStr">
        <is>
          <t>https://www.ncei.noaa.gov/pub/data/paleo/paleocean/sediment_files/complete/t93929-p-tab.txt</t>
        </is>
      </c>
      <c r="X2" t="inlineStr">
        <is>
          <t>Geochemical and geochronological data, together with some interpretations, can be found in Rostek et al. (1997)</t>
        </is>
      </c>
      <c r="Y2" t="inlineStr">
        <is>
          <t>Variables: depth         Depth (cm) calyrBP       calendar years B.P. (B.P. = 1950) sst-uk37      Sea Surface Temperature from Uk'37 (C)</t>
        </is>
      </c>
      <c r="Z2" t="n">
        <v>-2490</v>
      </c>
    </row>
    <row r="3">
      <c r="P3" t="n">
        <v>27.5</v>
      </c>
      <c r="R3" t="n">
        <v>120600</v>
      </c>
      <c r="T3" t="n">
        <v>27.5</v>
      </c>
    </row>
    <row r="4">
      <c r="P4" t="n">
        <v>27.6</v>
      </c>
      <c r="R4" t="n">
        <v>123800</v>
      </c>
      <c r="T4" t="n">
        <v>27.6</v>
      </c>
    </row>
    <row r="5">
      <c r="P5" t="n">
        <v>27.5</v>
      </c>
      <c r="R5" t="n">
        <v>125300</v>
      </c>
      <c r="T5" t="n">
        <v>27.5</v>
      </c>
    </row>
    <row r="6">
      <c r="P6" t="n">
        <v>27.4</v>
      </c>
      <c r="R6" t="n">
        <v>126800</v>
      </c>
      <c r="T6" t="n">
        <v>27.4</v>
      </c>
    </row>
    <row r="7">
      <c r="P7" t="n">
        <v>27.3</v>
      </c>
      <c r="R7" t="n">
        <v>128300</v>
      </c>
      <c r="T7" t="n">
        <v>27.3</v>
      </c>
    </row>
    <row r="8">
      <c r="P8" t="n">
        <v>27</v>
      </c>
      <c r="R8" t="n">
        <v>129800</v>
      </c>
      <c r="T8" t="n">
        <v>27</v>
      </c>
    </row>
    <row r="9">
      <c r="P9" t="n">
        <v>27.3</v>
      </c>
      <c r="R9" t="n">
        <v>130700</v>
      </c>
      <c r="T9" t="n">
        <v>27.3</v>
      </c>
    </row>
    <row r="10">
      <c r="P10" t="n">
        <v>26.4</v>
      </c>
      <c r="R10" t="n">
        <v>131600</v>
      </c>
      <c r="T10" t="n">
        <v>26.4</v>
      </c>
    </row>
    <row r="11">
      <c r="P11" t="n">
        <v>26.9</v>
      </c>
      <c r="R11" t="n">
        <v>132500</v>
      </c>
      <c r="T11" t="n">
        <v>26.9</v>
      </c>
    </row>
    <row r="12">
      <c r="P12" t="n">
        <v>26.8</v>
      </c>
      <c r="R12" t="n">
        <v>133400</v>
      </c>
      <c r="T12" t="n">
        <v>26.8</v>
      </c>
    </row>
    <row r="13">
      <c r="P13" t="n">
        <v>27</v>
      </c>
      <c r="R13" t="n">
        <v>134200</v>
      </c>
      <c r="T13" t="n">
        <v>27</v>
      </c>
    </row>
    <row r="14">
      <c r="P14" t="n">
        <v>25.8</v>
      </c>
      <c r="R14" t="n">
        <v>135100</v>
      </c>
      <c r="T14" t="n">
        <v>25.8</v>
      </c>
    </row>
    <row r="15">
      <c r="P15" t="n">
        <v>27</v>
      </c>
      <c r="R15" t="n">
        <v>137300</v>
      </c>
      <c r="T15" t="n">
        <v>27</v>
      </c>
    </row>
    <row r="16">
      <c r="P16" t="n">
        <v>26.7</v>
      </c>
      <c r="R16" t="n">
        <v>139500</v>
      </c>
      <c r="T16" t="n">
        <v>26.7</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IODP U1482</t>
        </is>
      </c>
      <c r="B2" t="n">
        <v>120.435</v>
      </c>
      <c r="C2" t="n">
        <v>-15.05533</v>
      </c>
      <c r="D2" t="inlineStr">
        <is>
          <t>UK37</t>
        </is>
      </c>
      <c r="N2" t="n">
        <v>4.62</v>
      </c>
      <c r="O2" t="n">
        <v>0.99041</v>
      </c>
      <c r="P2" t="n">
        <v>30.0583861</v>
      </c>
      <c r="R2" t="n">
        <v>116648</v>
      </c>
      <c r="S2" t="n">
        <v>25.6788509</v>
      </c>
      <c r="T2" t="n">
        <v>30.0583861</v>
      </c>
      <c r="U2" t="n">
        <v>36.45536</v>
      </c>
      <c r="V2" t="inlineStr">
        <is>
          <t>Tran, T.T.; Tierney, J.E.; Holbourn, A.E; Rattanasriampaipong, R. 2026. Biomarker Constraints on Indo-Pacific Warm Pool Temperature During the Late Pleistocene: The Role of Orbital Forcing. Paleoceanography and Paleoclimatology, 41(3), e2025PA005276. doi: 10.1029/2025PA005276</t>
        </is>
      </c>
      <c r="W2" t="inlineStr">
        <is>
          <t>https://www.ncei.noaa.gov/pub/data/paleo/paleocean/indian_ocean/tran2025/tran2025-u1482-bio-sst.txt</t>
        </is>
      </c>
      <c r="X2" t="inlineStr">
        <is>
          <t>Chronology_Information | Chronology: --------------------------------------- Variables</t>
        </is>
      </c>
      <c r="Y2" t="inlineStr">
        <is>
          <t>Variables | Data variables follow that are preceded by "##" in columns one and two. | Variables list, one per line, shortname-tab-var components: what, material, error, units, seasonality, data type, detail, method, C or N for Character or Numeric data) | sst_uk_low	sea surface temperature,alkenone unsaturation index,90% confidence interval lower bound,degree Celsius,,Paleoceanography;climate reconstructions,,Bayesian hierarchical modeling,N,2.5% confidence interval using BAYSPLINE calibration sst_uk_med	sea surface temperature,alkenone unsaturation index,,degree Celsius,,Paleoceanography;climate reconstructions,,Bayesian hierarchical modeling,N,Median values using BAYSPLINE calibration sst_uk_high	sea surface temperature,alkenone unsaturation index,90% confidence interval upper bound,degree Celsius,,Paleoceanography;climate reconstructions,,Bayesian hierarchical modeling,N,97.5% confide</t>
        </is>
      </c>
      <c r="Z2" t="n">
        <v>-1466</v>
      </c>
    </row>
    <row r="3">
      <c r="N3" t="n">
        <v>4.77</v>
      </c>
      <c r="O3" t="n">
        <v>0.9922299999999999</v>
      </c>
      <c r="P3" t="n">
        <v>30.1289334</v>
      </c>
      <c r="R3" t="n">
        <v>122382</v>
      </c>
      <c r="S3" t="n">
        <v>25.6915741</v>
      </c>
      <c r="T3" t="n">
        <v>30.1289334</v>
      </c>
      <c r="U3" t="n">
        <v>36.53563</v>
      </c>
    </row>
    <row r="4">
      <c r="N4" t="n">
        <v>15.83</v>
      </c>
      <c r="O4" t="n">
        <v>0.982778</v>
      </c>
      <c r="P4" t="n">
        <v>29.6827567</v>
      </c>
      <c r="R4" t="n">
        <v>126504</v>
      </c>
      <c r="S4" t="n">
        <v>25.4144474</v>
      </c>
      <c r="T4" t="n">
        <v>29.6827567</v>
      </c>
      <c r="U4" t="n">
        <v>36.02593</v>
      </c>
    </row>
    <row r="5">
      <c r="N5" t="n">
        <v>4.92</v>
      </c>
      <c r="O5" t="n">
        <v>0.987472</v>
      </c>
      <c r="P5" t="n">
        <v>29.9151216</v>
      </c>
      <c r="R5" t="n">
        <v>128119</v>
      </c>
      <c r="S5" t="n">
        <v>25.546377</v>
      </c>
      <c r="T5" t="n">
        <v>29.9151216</v>
      </c>
      <c r="U5" t="n">
        <v>36.34459</v>
      </c>
    </row>
    <row r="6">
      <c r="N6" t="n">
        <v>15.95</v>
      </c>
      <c r="O6" t="n">
        <v>0.978336</v>
      </c>
      <c r="P6" t="n">
        <v>29.4202581</v>
      </c>
      <c r="R6" t="n">
        <v>130038</v>
      </c>
      <c r="S6" t="n">
        <v>25.2098666</v>
      </c>
      <c r="T6" t="n">
        <v>29.4202581</v>
      </c>
      <c r="U6" t="n">
        <v>35.82777</v>
      </c>
    </row>
    <row r="7">
      <c r="N7" t="n">
        <v>16.07</v>
      </c>
      <c r="O7" t="n">
        <v>0.96373</v>
      </c>
      <c r="P7" t="n">
        <v>28.778754</v>
      </c>
      <c r="R7" t="n">
        <v>133572</v>
      </c>
      <c r="S7" t="n">
        <v>24.7829773</v>
      </c>
      <c r="T7" t="n">
        <v>28.778754</v>
      </c>
      <c r="U7" t="n">
        <v>34.98613</v>
      </c>
    </row>
    <row r="8">
      <c r="N8" t="n">
        <v>5.08</v>
      </c>
      <c r="O8" t="n">
        <v>0.959056</v>
      </c>
      <c r="P8" t="n">
        <v>28.543912</v>
      </c>
      <c r="R8" t="n">
        <v>134220</v>
      </c>
      <c r="S8" t="n">
        <v>24.5656872</v>
      </c>
      <c r="T8" t="n">
        <v>28.543912</v>
      </c>
      <c r="U8" t="n">
        <v>34.7029</v>
      </c>
    </row>
    <row r="9">
      <c r="N9" t="n">
        <v>16.21</v>
      </c>
      <c r="O9" t="n">
        <v>0.949237</v>
      </c>
      <c r="P9" t="n">
        <v>28.0581244</v>
      </c>
      <c r="R9" t="n">
        <v>137695</v>
      </c>
      <c r="S9" t="n">
        <v>24.2428689</v>
      </c>
      <c r="T9" t="n">
        <v>28.0581244</v>
      </c>
      <c r="U9" t="n">
        <v>34.08037</v>
      </c>
    </row>
    <row r="10">
      <c r="N10" t="n">
        <v>5.18</v>
      </c>
      <c r="O10" t="n">
        <v>0.937253</v>
      </c>
      <c r="P10" t="n">
        <v>27.4883385</v>
      </c>
      <c r="R10" t="n">
        <v>137988</v>
      </c>
      <c r="S10" t="n">
        <v>23.8010056</v>
      </c>
      <c r="T10" t="n">
        <v>27.4883385</v>
      </c>
      <c r="U10" t="n">
        <v>33.34456</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MD98-2152</t>
        </is>
      </c>
      <c r="B2" t="n">
        <v>103.879</v>
      </c>
      <c r="C2" t="n">
        <v>-6.328</v>
      </c>
      <c r="D2" t="inlineStr">
        <is>
          <t>UK37</t>
        </is>
      </c>
      <c r="N2" t="n">
        <v>871</v>
      </c>
      <c r="O2" t="n">
        <v>0.989</v>
      </c>
      <c r="P2" t="n">
        <v>29.6</v>
      </c>
      <c r="R2" t="n">
        <v>116150</v>
      </c>
      <c r="S2" t="n">
        <v>25.9</v>
      </c>
      <c r="T2" t="n">
        <v>29.6</v>
      </c>
      <c r="U2" t="n">
        <v>34.8</v>
      </c>
      <c r="V2" t="inlineStr">
        <is>
          <t>Grace Windler, Jessica E. Tierney, Pedro N. DiNezio, Kelly Gibson, Robert Thunell. 2019. Shelf exposure influence on Indo-Pacific Warm Pool climate for the last 450,000 years. Earth and Planetary Science Letters, 516, 66-76. doi: 10.1016/j.epsl.2019.03.038</t>
        </is>
      </c>
      <c r="W2" t="inlineStr">
        <is>
          <t>https://www.ncei.noaa.gov/pub/data/paleo/contributions_by_author/windler2019/windler2019.txt</t>
        </is>
      </c>
      <c r="X2" t="inlineStr">
        <is>
          <t>Chronology_Information | Chronology: Labcode depth_top depth_bottom mat_dated 14C_date</t>
        </is>
      </c>
      <c r="Y2" t="inlineStr">
        <is>
          <t>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 | sst_uk_5	sea surface temperature,,90% confidence interval lower bound,degree Celsius,,Paleoceanography,,Bayesian hierarchical modeling,N ,5% confidence interval using BAYSPLINE calibration sst_uk_med	sea surface temperature,,,degree Celsius,,Paleoceanography,,Bayesian hierarchical modeling,N ,Median values using BAYSPLINE calibration sst_uk_95	sea surface temperature,,90% confidence interval lower bound,degree Celsius,,Paleoceanography,,Bayesian hierarchical modeling,N ,95% confidence interval using BAYSPLINE calibration TEX86	tetraether index of 86</t>
        </is>
      </c>
      <c r="Z2" t="n">
        <v>-1796</v>
      </c>
    </row>
    <row r="3">
      <c r="N3" t="n">
        <v>891</v>
      </c>
      <c r="O3" t="n">
        <v>0.984</v>
      </c>
      <c r="P3" t="n">
        <v>29.4</v>
      </c>
      <c r="R3" t="n">
        <v>120190</v>
      </c>
      <c r="S3" t="n">
        <v>25.8</v>
      </c>
      <c r="T3" t="n">
        <v>29.4</v>
      </c>
      <c r="U3" t="n">
        <v>34.5</v>
      </c>
    </row>
    <row r="4">
      <c r="N4" t="n">
        <v>911</v>
      </c>
      <c r="O4" t="n">
        <v>0.984</v>
      </c>
      <c r="P4" t="n">
        <v>29.4</v>
      </c>
      <c r="R4" t="n">
        <v>123940</v>
      </c>
      <c r="S4" t="n">
        <v>25.8</v>
      </c>
      <c r="T4" t="n">
        <v>29.4</v>
      </c>
      <c r="U4" t="n">
        <v>34.5</v>
      </c>
    </row>
    <row r="5">
      <c r="N5" t="n">
        <v>951</v>
      </c>
      <c r="O5" t="n">
        <v>0.972</v>
      </c>
      <c r="P5" t="n">
        <v>29</v>
      </c>
      <c r="R5" t="n">
        <v>130840</v>
      </c>
      <c r="S5" t="n">
        <v>25.4</v>
      </c>
      <c r="T5" t="n">
        <v>29</v>
      </c>
      <c r="U5" t="n">
        <v>34</v>
      </c>
    </row>
    <row r="6">
      <c r="N6" t="n">
        <v>961</v>
      </c>
      <c r="O6" t="n">
        <v>0.957</v>
      </c>
      <c r="P6" t="n">
        <v>28.4</v>
      </c>
      <c r="R6" t="n">
        <v>132560</v>
      </c>
      <c r="S6" t="n">
        <v>25</v>
      </c>
      <c r="T6" t="n">
        <v>28.4</v>
      </c>
      <c r="U6" t="n">
        <v>33.3</v>
      </c>
    </row>
    <row r="7">
      <c r="N7" t="n">
        <v>971</v>
      </c>
      <c r="O7" t="n">
        <v>0.9409999999999999</v>
      </c>
      <c r="P7" t="n">
        <v>27.7</v>
      </c>
      <c r="R7" t="n">
        <v>134280</v>
      </c>
      <c r="S7" t="n">
        <v>24.5</v>
      </c>
      <c r="T7" t="n">
        <v>27.7</v>
      </c>
      <c r="U7" t="n">
        <v>32.5</v>
      </c>
    </row>
    <row r="8">
      <c r="N8" t="n">
        <v>981</v>
      </c>
      <c r="O8" t="n">
        <v>0.949</v>
      </c>
      <c r="P8" t="n">
        <v>28</v>
      </c>
      <c r="R8" t="n">
        <v>136010</v>
      </c>
      <c r="S8" t="n">
        <v>24.7</v>
      </c>
      <c r="T8" t="n">
        <v>28</v>
      </c>
      <c r="U8" t="n">
        <v>33</v>
      </c>
    </row>
    <row r="9">
      <c r="N9" t="n">
        <v>991</v>
      </c>
      <c r="O9" t="n">
        <v>0.963</v>
      </c>
      <c r="P9" t="n">
        <v>28.6</v>
      </c>
      <c r="R9" t="n">
        <v>137730</v>
      </c>
      <c r="S9" t="n">
        <v>25.2</v>
      </c>
      <c r="T9" t="n">
        <v>28.6</v>
      </c>
      <c r="U9" t="n">
        <v>33.6</v>
      </c>
    </row>
    <row r="10">
      <c r="N10" t="n">
        <v>1001</v>
      </c>
      <c r="O10" t="n">
        <v>0.961</v>
      </c>
      <c r="P10" t="n">
        <v>28.5</v>
      </c>
      <c r="R10" t="n">
        <v>139460</v>
      </c>
      <c r="S10" t="n">
        <v>25.1</v>
      </c>
      <c r="T10" t="n">
        <v>28.5</v>
      </c>
      <c r="U10" t="n">
        <v>33.6</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ODP 1021</t>
        </is>
      </c>
      <c r="B2" t="n">
        <v>-127.783</v>
      </c>
      <c r="C2" t="n">
        <v>39.088</v>
      </c>
      <c r="D2" t="inlineStr">
        <is>
          <t>UK37</t>
        </is>
      </c>
      <c r="N2" t="n">
        <v>120</v>
      </c>
      <c r="O2" t="n">
        <v>0.418</v>
      </c>
      <c r="P2" t="n">
        <v>11.148</v>
      </c>
      <c r="R2" t="n">
        <v>120910</v>
      </c>
      <c r="T2" t="n">
        <v>11.148</v>
      </c>
      <c r="V2" t="inlineStr">
        <is>
          <t>Herbert, T.D., L.C. Peterson, K.T. Lawrence, and Z. Liu. 2010. Tropical Ocean Temperatures over the Past 3.5 Myr. Science, 328, 5985, 1530-1534. doi: 10.1126/science.1185435</t>
        </is>
      </c>
      <c r="W2" t="inlineStr">
        <is>
          <t>https://www.ncei.noaa.gov/pub/data/paleo/contributions_by_author/herbert2016/herbert2016-odp1021.txt</t>
        </is>
      </c>
      <c r="X2" t="inlineStr">
        <is>
          <t>Description: Note: age models for Sites 907 and 982 refined following publication of Herbert et al., 2016 NGS | Notes: alkenone data reported from LaRiviere et al., 2012, interpreted in anomaly framework by Herbert et al., 2016. chronology taken from LaRiviere et al., 2012 --------------------------------------- Chronology_Information | Chronology_Information | Chronology: --------------------------------------- Variables Data variables follow that are preceded by "##" in columns one and two.</t>
        </is>
      </c>
      <c r="Y2" t="inlineStr">
        <is>
          <t>Abstract: During the late Miocene epoch, about seven million years ago, large areas of the continents experienced drying, enhanced seasonality, and a restructuring of terrestrial plant and animal communities. These changes are seen throughout the subtropics, but have typically been attributed to regional tectonic forcing. Here we present a set of globally distributed sea surface temperature records spanning the past 12 million years based on the alkenone unsaturation method. We find that a sustained late Miocene cooling occurred synchronously in both hemispheres, and culminated with ocean temperatures dipping to near-modern values between about 7 and 5.4 million years ago. The period of maximum cooling coincides with evidence for transient glaciations in the Northern Hemisphere and with a steepening of the pole-to-equator temperature gradient, as well. We thus infer that late Miocene ari</t>
        </is>
      </c>
      <c r="Z2" t="n">
        <v>-4215</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ODP 1088</t>
        </is>
      </c>
      <c r="B2" t="n">
        <v>13.56</v>
      </c>
      <c r="C2" t="n">
        <v>-41.14</v>
      </c>
      <c r="D2" t="inlineStr">
        <is>
          <t>UK37</t>
        </is>
      </c>
      <c r="N2" t="n">
        <v>136</v>
      </c>
      <c r="O2" t="n">
        <v>0.649</v>
      </c>
      <c r="P2" t="n">
        <v>17.94</v>
      </c>
      <c r="R2" t="n">
        <v>130900</v>
      </c>
      <c r="S2" t="n">
        <v>5.040000000000001</v>
      </c>
      <c r="T2" t="n">
        <v>17.94</v>
      </c>
      <c r="U2" t="n">
        <v>30.84</v>
      </c>
      <c r="V2" t="inlineStr">
        <is>
          <t>Herbert, T.D., L.C. Peterson, K.T. Lawrence, and Z. Liu. 2010. Tropical Ocean Temperatures over the Past 3.5 Myr. Science, 328, 5985, 1530-1534. doi: 10.1126/science.1185435</t>
        </is>
      </c>
      <c r="W2" t="inlineStr">
        <is>
          <t>https://www.ncei.noaa.gov/pub/data/paleo/contributions_by_author/herbert2016/herbert2016-odp1088.txt</t>
        </is>
      </c>
      <c r="X2" t="inlineStr">
        <is>
          <t>Description: Note: age models for Sites 907 and 982 refined following publication of Herbert et al., 2016 NGS | Chronology_Information | Chronology: chronology follows Herbert et al., 2016 Nature Geoscience Event	Age_(ka)	Uncertainty_(ka)	Depth_(mbsf) core top	0	2	0 MiS 5e Hodell	126	5	1.37 MIS 7	197	5	2.17 | chronology follows Herbert et al., 2016 Nature Geoscience Event	Age_(ka)	Uncertainty_(ka)	Depth_(mbsf) core top	0	2	0 MiS 5e Hodell	126	5	1.37 MIS 7	197	5	2.17 MIS 11 Hodell	407	5	4.12</t>
        </is>
      </c>
      <c r="Y2" t="inlineStr">
        <is>
          <t>Abstract: During the late Miocene epoch, about seven million years ago, large areas of the continents experienced drying, enhanced seasonality, and a restructuring of terrestrial plant and animal communities. These changes are seen throughout the subtropics, but have typically been attributed to regional tectonic forcing. Here we present a set of globally distributed sea surface temperature records spanning the past 12 million years based on the alkenone unsaturation method. We find that a sustained late Miocene cooling occurred synchronously in both hemispheres, and culminated with ocean temperatures dipping to near-modern values between about 7 and 5.4 million years ago. The period of maximum cooling coincides with evidence for transient glaciations in the Northern Hemisphere and with a steepening of the pole-to-equator temperature gradient, as well. We thus infer that late Miocene ari</t>
        </is>
      </c>
      <c r="Z2" t="n">
        <v>-2082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Z8"/>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ODP 982</t>
        </is>
      </c>
      <c r="B2" t="n">
        <v>-15.8665</v>
      </c>
      <c r="C2" t="n">
        <v>57.517</v>
      </c>
      <c r="D2" t="inlineStr">
        <is>
          <t>UK37</t>
        </is>
      </c>
      <c r="N2" t="n">
        <v>60</v>
      </c>
      <c r="O2" t="n">
        <v>0.619</v>
      </c>
      <c r="P2" t="n">
        <v>17.06</v>
      </c>
      <c r="R2" t="n">
        <v>119090</v>
      </c>
      <c r="S2" t="n">
        <v>-8923.940000000001</v>
      </c>
      <c r="T2" t="n">
        <v>17.06</v>
      </c>
      <c r="U2" t="n">
        <v>8958.059999999999</v>
      </c>
      <c r="V2" t="inlineStr">
        <is>
          <t>Herbert, T.D., L.C. Peterson, K.T. Lawrence, and Z. Liu. 2010. Tropical Ocean Temperatures over the Past 3.5 Myr. Science, 328, 5985, 1530-1534. doi: 10.1126/science.1185435</t>
        </is>
      </c>
      <c r="W2" t="inlineStr">
        <is>
          <t>https://www.ncei.noaa.gov/pub/data/paleo/contributions_by_author/herbert2016/herbert2016-odp982.txt</t>
        </is>
      </c>
      <c r="X2" t="inlineStr">
        <is>
          <t>Description: Note: age models for Sites 907 and 982 refined following publication of Herbert et al., 2016 NGS | Chronology_Information | Chronology: chronology taken from Lawrence et al. 2009 0-4.026 Ma; from Drury et al. 2017, Climate of the Past from 4.026-8.2 Ma; Herbert et al. 2016 Nature Geoscience from 8.2-16 Ma Event	age_ka	error_ka	depth_(mcd) Gi20	3997	20	98.46 Drury_2017	4478.87	10	120.14 Drury_2017	4601.53	10	124.59 | chronology taken from Lawrence et al. 2009 0-4.026 Ma; from Drury et al. 2017, Climate of the Past from 4.026-8.2 Ma; Herbert et al. 2016 Nature Geoscience from 8.2-16 Ma Event	age_ka	error_ka	depth_(mcd) Gi20	3997	20	98.46 Drury_2017	4478.87	10	120.14 Drury_2017	4601.53	10	124.59 N6	4698	20	128.09</t>
        </is>
      </c>
      <c r="Y2" t="inlineStr">
        <is>
          <t>Abstract: During the late Miocene epoch, about seven million years ago, large areas of the continents experienced drying, enhanced seasonality, and a restructuring of terrestrial plant and animal communities. These changes are seen throughout the subtropics, but have typically been attributed to regional tectonic forcing. Here we present a set of globally distributed sea surface temperature records spanning the past 12 million years based on the alkenone unsaturation method. We find that a sustained late Miocene cooling occurred synchronously in both hemispheres, and culminated with ocean temperatures dipping to near-modern values between about 7 and 5.4 million years ago. The period of maximum cooling coincides with evidence for transient glaciations in the Northern Hemisphere and with a steepening of the pole-to-equator temperature gradient, as well. We thus infer that late Miocene ari</t>
        </is>
      </c>
      <c r="Z2" t="n">
        <v>-1145</v>
      </c>
    </row>
    <row r="3">
      <c r="N3" t="n">
        <v>110</v>
      </c>
      <c r="O3" t="n">
        <v>0.629</v>
      </c>
      <c r="P3" t="n">
        <v>17.35</v>
      </c>
      <c r="R3" t="n">
        <v>125640</v>
      </c>
      <c r="S3" t="n">
        <v>-9275.25</v>
      </c>
      <c r="T3" t="n">
        <v>17.35</v>
      </c>
      <c r="U3" t="n">
        <v>9309.950000000001</v>
      </c>
    </row>
    <row r="4">
      <c r="N4" t="n">
        <v>10</v>
      </c>
      <c r="O4" t="n">
        <v>0.713</v>
      </c>
      <c r="P4" t="n">
        <v>19.84</v>
      </c>
      <c r="R4" t="n">
        <v>132105</v>
      </c>
      <c r="S4" t="n">
        <v>-9554.16</v>
      </c>
      <c r="T4" t="n">
        <v>19.84</v>
      </c>
      <c r="U4" t="n">
        <v>9593.84</v>
      </c>
    </row>
    <row r="5">
      <c r="N5" t="n">
        <v>110</v>
      </c>
      <c r="O5" t="n">
        <v>0.6909999999999999</v>
      </c>
      <c r="P5" t="n">
        <v>19.18</v>
      </c>
      <c r="R5" t="n">
        <v>133130</v>
      </c>
      <c r="S5" t="n">
        <v>-9588.219999999999</v>
      </c>
      <c r="T5" t="n">
        <v>19.18</v>
      </c>
      <c r="U5" t="n">
        <v>9626.58</v>
      </c>
    </row>
    <row r="6">
      <c r="N6" t="n">
        <v>10</v>
      </c>
      <c r="O6" t="n">
        <v>0.737</v>
      </c>
      <c r="P6" t="n">
        <v>20.54</v>
      </c>
      <c r="R6" t="n">
        <v>135105</v>
      </c>
      <c r="S6" t="n">
        <v>-9649.859999999999</v>
      </c>
      <c r="T6" t="n">
        <v>20.54</v>
      </c>
      <c r="U6" t="n">
        <v>9690.940000000001</v>
      </c>
    </row>
    <row r="7">
      <c r="N7" t="n">
        <v>110</v>
      </c>
      <c r="O7" t="n">
        <v>0.65</v>
      </c>
      <c r="P7" t="n">
        <v>17.96</v>
      </c>
      <c r="R7" t="n">
        <v>137605</v>
      </c>
      <c r="S7" t="n">
        <v>-9731.440000000001</v>
      </c>
      <c r="T7" t="n">
        <v>17.96</v>
      </c>
      <c r="U7" t="n">
        <v>9767.359999999999</v>
      </c>
    </row>
    <row r="8">
      <c r="N8" t="n">
        <v>10</v>
      </c>
      <c r="O8" t="n">
        <v>0.704</v>
      </c>
      <c r="P8" t="n">
        <v>19.57</v>
      </c>
      <c r="R8" t="n">
        <v>138105</v>
      </c>
      <c r="S8" t="n">
        <v>-9745.630000000001</v>
      </c>
      <c r="T8" t="n">
        <v>19.57</v>
      </c>
      <c r="U8" t="n">
        <v>9784.77</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ODP 1208</t>
        </is>
      </c>
      <c r="B2" t="n">
        <v>158.2016</v>
      </c>
      <c r="C2" t="n">
        <v>36.1272</v>
      </c>
      <c r="D2" t="inlineStr">
        <is>
          <t>UK37</t>
        </is>
      </c>
      <c r="N2" t="n">
        <v>49</v>
      </c>
      <c r="O2" t="n">
        <v>0.636</v>
      </c>
      <c r="P2" t="n">
        <v>17.55</v>
      </c>
      <c r="R2" t="n">
        <v>121900</v>
      </c>
      <c r="S2" t="n">
        <v>-103.55</v>
      </c>
      <c r="T2" t="n">
        <v>17.55</v>
      </c>
      <c r="U2" t="n">
        <v>138.65</v>
      </c>
      <c r="V2" t="inlineStr">
        <is>
          <t>Herbert, T.D., L.C. Peterson, K.T. Lawrence, and Z. Liu. 2010. Tropical Ocean Temperatures over the Past 3.5 Myr. Science, 328, 5985, 1530-1534. doi: 10.1126/science.1185435</t>
        </is>
      </c>
      <c r="W2" t="inlineStr">
        <is>
          <t>https://www.ncei.noaa.gov/pub/data/paleo/contributions_by_author/herbert2016/herbert2016-odp1208.txt</t>
        </is>
      </c>
      <c r="X2" t="inlineStr">
        <is>
          <t>Description: Note: age models for Sites 907 and 982 refined following publication of Herbert et al., 2016 NGS | Notes: alkenone data reported from LaRiviere et al., 2012, interpreted in anomaly framework by Herbert et al., 2016. chronology taken from LaRiviere et al., 2012, except for interval 1.76-2.997 Ma, where age derived from orbital tuning by Venti et al. --------------------------------------- Chronology_Information | Chronology_Information | Chronology: --------------------------------------- Variables Data variables follow that are preceded by "##" in columns one and two.</t>
        </is>
      </c>
      <c r="Y2" t="inlineStr">
        <is>
          <t>Abstract: During the late Miocene epoch, about seven million years ago, large areas of the continents experienced drying, enhanced seasonality, and a restructuring of terrestrial plant and animal communities. These changes are seen throughout the subtropics, but have typically been attributed to regional tectonic forcing. Here we present a set of globally distributed sea surface temperature records spanning the past 12 million years based on the alkenone unsaturation method. We find that a sustained late Miocene cooling occurred synchronously in both hemispheres, and culminated with ocean temperatures dipping to near-modern values between about 7 and 5.4 million years ago. The period of maximum cooling coincides with evidence for transient glaciations in the Northern Hemisphere and with a steepening of the pole-to-equator temperature gradient, as well. We thus infer that late Miocene ari</t>
        </is>
      </c>
      <c r="Z2" t="n">
        <v>-3346</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ODP 1010</t>
        </is>
      </c>
      <c r="B2" t="n">
        <v>-118.107</v>
      </c>
      <c r="C2" t="n">
        <v>29.768</v>
      </c>
      <c r="D2" t="inlineStr">
        <is>
          <t>UK37</t>
        </is>
      </c>
      <c r="N2" t="n">
        <v>145</v>
      </c>
      <c r="O2" t="n">
        <v>0.645</v>
      </c>
      <c r="P2" t="n">
        <v>17.83</v>
      </c>
      <c r="R2" t="n">
        <v>120380</v>
      </c>
      <c r="T2" t="n">
        <v>17.83</v>
      </c>
      <c r="V2" t="inlineStr">
        <is>
          <t>Herbert, T.D., L.C. Peterson, K.T. Lawrence, and Z. Liu. 2010. Tropical Ocean Temperatures over the Past 3.5 Myr. Science, 328, 5985, 1530-1534. doi: 10.1126/science.1185435</t>
        </is>
      </c>
      <c r="W2" t="inlineStr">
        <is>
          <t>https://www.ncei.noaa.gov/pub/data/paleo/contributions_by_author/herbert2016/herbert2016-odp1010.txt</t>
        </is>
      </c>
      <c r="X2" t="inlineStr">
        <is>
          <t>Description: Note: age models for Sites 907 and 982 refined following publication of Herbert et al., 2016 NGS | Notes: alkenone data reported from LaRiviere et al., interpreted in anomaly framework by Herbert et al., 2016. Chronology taken from LaRiviere et al., 2012 --------------------------------------- Chronology_Information | Chronology_Information | Chronology: --------------------------------------- Variables Data variables follow that are preceded by "##" in columns one and two.</t>
        </is>
      </c>
      <c r="Y2" t="inlineStr">
        <is>
          <t>Abstract: During the late Miocene epoch, about seven million years ago, large areas of the continents experienced drying, enhanced seasonality, and a restructuring of terrestrial plant and animal communities. These changes are seen throughout the subtropics, but have typically been attributed to regional tectonic forcing. Here we present a set of globally distributed sea surface temperature records spanning the past 12 million years based on the alkenone unsaturation method. We find that a sustained late Miocene cooling occurred synchronously in both hemispheres, and culminated with ocean temperatures dipping to near-modern values between about 7 and 5.4 million years ago. The period of maximum cooling coincides with evidence for transient glaciations in the Northern Hemisphere and with a steepening of the pole-to-equator temperature gradient, as well. We thus infer that late Miocene ari</t>
        </is>
      </c>
      <c r="Z2" t="n">
        <v>-3464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Q200</t>
        </is>
      </c>
      <c r="B2" t="n">
        <v>172.03</v>
      </c>
      <c r="C2" t="n">
        <v>-46</v>
      </c>
      <c r="D2" t="inlineStr">
        <is>
          <t>Foram</t>
        </is>
      </c>
      <c r="M2" t="n">
        <v>4.14</v>
      </c>
      <c r="N2" t="n">
        <v>288</v>
      </c>
      <c r="O2" t="n">
        <v>333</v>
      </c>
      <c r="P2" t="n">
        <v>4.237</v>
      </c>
      <c r="R2" t="n">
        <v>116705</v>
      </c>
      <c r="T2" t="n">
        <v>4.237</v>
      </c>
      <c r="V2" t="inlineStr">
        <is>
          <t>Weaver, P.P.E., L. Carter, and H.L. Neil. 1998. Response of surface water masses and circulation to late Quaternary climate change east of New Zealand. Paleoceanography, 13(1), 70-83. doi: 10.1029/97PA02982</t>
        </is>
      </c>
      <c r="W2" t="inlineStr">
        <is>
          <t>https://www.ncei.noaa.gov/pub/data/paleo/paleocean/sediment_files/complete/q200-tab.txt</t>
        </is>
      </c>
      <c r="X2" t="inlineStr"/>
      <c r="Y2" t="inlineStr">
        <is>
          <t>Variables: depth         Depth (cm) yrBP          radiocarbon years B.P. (Libby half-life; B.P. = 1950) carb%         Calcium Carbonate percent commun        Communality gyrmar        Gyre margin foraminifer assemblage</t>
        </is>
      </c>
      <c r="Z2" t="n">
        <v>-1370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R657</t>
        </is>
      </c>
      <c r="B2" t="n">
        <v>-178.5</v>
      </c>
      <c r="C2" t="n">
        <v>-42.53</v>
      </c>
      <c r="D2" t="inlineStr">
        <is>
          <t>Foram</t>
        </is>
      </c>
      <c r="M2" t="n">
        <v>2.44</v>
      </c>
      <c r="N2" t="n">
        <v>230</v>
      </c>
      <c r="O2" t="n">
        <v>423</v>
      </c>
      <c r="P2" t="n">
        <v>12.483</v>
      </c>
      <c r="R2" t="n">
        <v>121200</v>
      </c>
      <c r="T2" t="n">
        <v>12.483</v>
      </c>
      <c r="V2" t="inlineStr">
        <is>
          <t>Weaver, P.P.E., L. Carter, and H.L. Neil. 1998. Response of surface water masses and circulation to late Quaternary climate change east of New Zealand. Paleoceanography, 13(1), 70-83. doi: 10.1029/97PA02982</t>
        </is>
      </c>
      <c r="W2" t="inlineStr">
        <is>
          <t>https://www.ncei.noaa.gov/pub/data/paleo/paleocean/sediment_files/complete/r657-tab.txt</t>
        </is>
      </c>
      <c r="X2" t="inlineStr"/>
      <c r="Y2" t="inlineStr">
        <is>
          <t>Variables: depth         Depth (cm) yrBP          radiocarbon years B.P. (Libby half-life; B.P. = 1950) carb%         Calcium Carbonate percent commun        Communality d13Cg.bull    delta C13 PDB (Globigerina bulloides)</t>
        </is>
      </c>
      <c r="Z2" t="n">
        <v>-1408</v>
      </c>
    </row>
    <row r="3">
      <c r="M3" t="n">
        <v>2.66</v>
      </c>
      <c r="N3" t="n">
        <v>250</v>
      </c>
      <c r="O3" t="n">
        <v>336</v>
      </c>
      <c r="P3" t="n">
        <v>8.291</v>
      </c>
      <c r="R3" t="n">
        <v>132400</v>
      </c>
      <c r="T3" t="n">
        <v>8.291</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U938</t>
        </is>
      </c>
      <c r="B2" t="n">
        <v>179.5</v>
      </c>
      <c r="C2" t="n">
        <v>-45.08</v>
      </c>
      <c r="D2" t="inlineStr">
        <is>
          <t>Foram</t>
        </is>
      </c>
      <c r="N2" t="n">
        <v>390</v>
      </c>
      <c r="O2" t="n">
        <v>521</v>
      </c>
      <c r="P2" t="n">
        <v>5.32</v>
      </c>
      <c r="R2" t="n">
        <v>117520</v>
      </c>
      <c r="T2" t="n">
        <v>5.32</v>
      </c>
      <c r="V2" t="inlineStr">
        <is>
          <t>Weaver, P.P.E., L. Carter, and H.L. Neil. 1998. Response of surface water masses and circulation to late Quaternary climate change east of New Zealand. Paleoceanography, 13(1), 70-83. doi: 10.1029/97PA02982</t>
        </is>
      </c>
      <c r="W2" t="inlineStr">
        <is>
          <t>https://www.ncei.noaa.gov/pub/data/paleo/paleocean/sediment_files/complete/u938-tab.txt</t>
        </is>
      </c>
      <c r="X2" t="inlineStr"/>
      <c r="Y2" t="inlineStr">
        <is>
          <t>Variables: depth         Depth (cm) yrBP          radiocarbon years B.P. (Libby half-life; B.P. = 1950) carb%         Calcium Carbonate percent commun        Communality d13Cuvige     delta C13 PDB (Uvigerina sp.)</t>
        </is>
      </c>
      <c r="Z2" t="n">
        <v>-2700</v>
      </c>
    </row>
    <row r="3">
      <c r="N3" t="n">
        <v>400</v>
      </c>
      <c r="O3" t="n">
        <v>409</v>
      </c>
      <c r="P3" t="n">
        <v>5.81</v>
      </c>
      <c r="R3" t="n">
        <v>120880</v>
      </c>
      <c r="T3" t="n">
        <v>5.81</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Z2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MD99-2331</t>
        </is>
      </c>
      <c r="B2" t="n">
        <v>-9.68</v>
      </c>
      <c r="C2" t="n">
        <v>42.15</v>
      </c>
      <c r="D2" t="inlineStr">
        <is>
          <t>UK37</t>
        </is>
      </c>
      <c r="N2" t="n">
        <v>1800</v>
      </c>
      <c r="P2" t="n">
        <v>20.823</v>
      </c>
      <c r="R2" t="n">
        <v>115956</v>
      </c>
      <c r="T2" t="n">
        <v>20.823</v>
      </c>
      <c r="V2" t="inlineStr">
        <is>
          <t>Sanchez Goñi, M.F., M.F. Loutre, M. Crucifix, O. Peyron, L. Santos, J. Duprat, B. Malaize, J.-L. Turon, and J.-P. Peypouquet. 2005. Increasing vegetation and climate gradient in Western Europe over the Last Glacial Inception (122–110 ka): data-model comparison. Earth and Planetary Science Letters, 231(1-2), 111-130. doi: 10.1016/j.epsl.2004.12.010</t>
        </is>
      </c>
      <c r="W2" t="inlineStr">
        <is>
          <t>https://www.ncei.noaa.gov/pub/data/paleo/contributions_by_author/sanchezgoni2013/sanchezgoni2013-md99-2331-sstuk37.txt</t>
        </is>
      </c>
      <c r="X2" t="inlineStr">
        <is>
          <t>Chronology MD99-2331 Control points	Depth (cm)	Age  ka b2k GICC05 (Wolff et al., 2010) for D-O; Sanchez Goñi &amp; Harrison, 2010 for HS; Shackleton et al., 2000; Sanchez Goñi et al. 2012, Masson-Delmotte et al, 2010 PNAS and Waelbroeck per. com. D-O 2		23.34	Wolff et al., 2010 D-O 3		27.78	Wolff et al., 2010 D-O 4	805	28.9	Wolff et al., 2010</t>
        </is>
      </c>
      <c r="Y2" t="inlineStr">
        <is>
          <t>Abstract: High-resolution terrestrial (pollen) and marine (planktic and benthic isotopes, coarse fraction, and N. pachyderma (s)) analyses have been performed in the Marine Isotope Stage (MIS) 5 interval of IMAGES core MD99-2331 retrieved in the northwestern Iberian margin. This study shows the occurrence of a Zeifen Interstadial/Stadial succession on land and in the ocean during the first part of MIS 5e. In northwestern Iberia, the Eemian is marked from 126 to 122 ka by the development of deciduous Quercus forest at the same time as Mediterranean forest colonised southern Iberia, and deciduous Quercus-Corylus forest occupied northernmost European regions. From 121 to 115 ka Carpinus betulus forest developed in NW Iberia indicating a winter cooling by 2 °C on land and an increase in annual precipitation by 100–200 mm along with a Sea Surface Temperature (SST) decreasing trend off Iberia.</t>
        </is>
      </c>
      <c r="Z2" t="n">
        <v>-2110</v>
      </c>
    </row>
    <row r="3">
      <c r="N3" t="n">
        <v>1810</v>
      </c>
      <c r="P3" t="n">
        <v>18.471</v>
      </c>
      <c r="R3" t="n">
        <v>117676</v>
      </c>
      <c r="T3" t="n">
        <v>18.471</v>
      </c>
    </row>
    <row r="4">
      <c r="N4" t="n">
        <v>1820</v>
      </c>
      <c r="P4" t="n">
        <v>19.239</v>
      </c>
      <c r="R4" t="n">
        <v>119396</v>
      </c>
      <c r="T4" t="n">
        <v>19.239</v>
      </c>
    </row>
    <row r="5">
      <c r="N5" t="n">
        <v>1830</v>
      </c>
      <c r="P5" t="n">
        <v>21.411</v>
      </c>
      <c r="R5" t="n">
        <v>121116</v>
      </c>
      <c r="T5" t="n">
        <v>21.411</v>
      </c>
    </row>
    <row r="6">
      <c r="N6" t="n">
        <v>1840</v>
      </c>
      <c r="P6" t="n">
        <v>22.443</v>
      </c>
      <c r="R6" t="n">
        <v>122836</v>
      </c>
      <c r="T6" t="n">
        <v>22.443</v>
      </c>
    </row>
    <row r="7">
      <c r="N7" t="n">
        <v>1850</v>
      </c>
      <c r="P7" t="n">
        <v>22.104</v>
      </c>
      <c r="R7" t="n">
        <v>124556</v>
      </c>
      <c r="T7" t="n">
        <v>22.104</v>
      </c>
    </row>
    <row r="8">
      <c r="N8" t="n">
        <v>1860</v>
      </c>
      <c r="P8" t="n">
        <v>22.218</v>
      </c>
      <c r="R8" t="n">
        <v>126276</v>
      </c>
      <c r="T8" t="n">
        <v>22.218</v>
      </c>
    </row>
    <row r="9">
      <c r="N9" t="n">
        <v>1870</v>
      </c>
      <c r="P9" t="n">
        <v>19.47</v>
      </c>
      <c r="R9" t="n">
        <v>127996</v>
      </c>
      <c r="T9" t="n">
        <v>19.47</v>
      </c>
    </row>
    <row r="10">
      <c r="N10" t="n">
        <v>1880</v>
      </c>
      <c r="P10" t="n">
        <v>15.053</v>
      </c>
      <c r="R10" t="n">
        <v>129657.8947</v>
      </c>
      <c r="T10" t="n">
        <v>15.053</v>
      </c>
    </row>
    <row r="11">
      <c r="N11" t="n">
        <v>1890</v>
      </c>
      <c r="P11" t="n">
        <v>17.409</v>
      </c>
      <c r="R11" t="n">
        <v>131184.2105</v>
      </c>
      <c r="T11" t="n">
        <v>17.409</v>
      </c>
    </row>
    <row r="12">
      <c r="N12" t="n">
        <v>1900</v>
      </c>
      <c r="P12" t="n">
        <v>20.405</v>
      </c>
      <c r="R12" t="n">
        <v>132710.5263</v>
      </c>
      <c r="T12" t="n">
        <v>20.405</v>
      </c>
    </row>
    <row r="13">
      <c r="N13" t="n">
        <v>1910</v>
      </c>
      <c r="P13" t="n">
        <v>12.173</v>
      </c>
      <c r="R13" t="n">
        <v>134236.8421</v>
      </c>
      <c r="T13" t="n">
        <v>12.173</v>
      </c>
    </row>
    <row r="14">
      <c r="N14" t="n">
        <v>1920</v>
      </c>
      <c r="P14" t="n">
        <v>11.906</v>
      </c>
      <c r="R14" t="n">
        <v>135193.5484</v>
      </c>
      <c r="T14" t="n">
        <v>11.906</v>
      </c>
    </row>
    <row r="15">
      <c r="N15" t="n">
        <v>1930</v>
      </c>
      <c r="P15" t="n">
        <v>11.996</v>
      </c>
      <c r="R15" t="n">
        <v>135580.6452</v>
      </c>
      <c r="T15" t="n">
        <v>11.996</v>
      </c>
    </row>
    <row r="16">
      <c r="N16" t="n">
        <v>1940</v>
      </c>
      <c r="P16" t="n">
        <v>11.236</v>
      </c>
      <c r="R16" t="n">
        <v>135967.7419</v>
      </c>
      <c r="T16" t="n">
        <v>11.236</v>
      </c>
    </row>
    <row r="17">
      <c r="N17" t="n">
        <v>1950</v>
      </c>
      <c r="P17" t="n">
        <v>10.962</v>
      </c>
      <c r="R17" t="n">
        <v>136354.8387</v>
      </c>
      <c r="T17" t="n">
        <v>10.962</v>
      </c>
    </row>
    <row r="18">
      <c r="N18" t="n">
        <v>1960</v>
      </c>
      <c r="P18" t="n">
        <v>13.721</v>
      </c>
      <c r="R18" t="n">
        <v>136741.9355</v>
      </c>
      <c r="T18" t="n">
        <v>13.721</v>
      </c>
    </row>
    <row r="19">
      <c r="N19" t="n">
        <v>1970</v>
      </c>
      <c r="P19" t="n">
        <v>13.654</v>
      </c>
      <c r="R19" t="n">
        <v>137129.0323</v>
      </c>
      <c r="T19" t="n">
        <v>13.654</v>
      </c>
    </row>
    <row r="20">
      <c r="N20" t="n">
        <v>1980</v>
      </c>
      <c r="P20" t="n">
        <v>13.049</v>
      </c>
      <c r="R20" t="n">
        <v>137516.129</v>
      </c>
      <c r="T20" t="n">
        <v>13.049</v>
      </c>
    </row>
    <row r="21">
      <c r="N21" t="n">
        <v>1990</v>
      </c>
      <c r="P21" t="n">
        <v>12.409</v>
      </c>
      <c r="R21" t="n">
        <v>137903.2258</v>
      </c>
      <c r="T21" t="n">
        <v>12.409</v>
      </c>
    </row>
    <row r="22">
      <c r="N22" t="n">
        <v>2000</v>
      </c>
      <c r="P22" t="n">
        <v>12.888</v>
      </c>
      <c r="R22" t="n">
        <v>138290.3226</v>
      </c>
      <c r="T22" t="n">
        <v>12.888</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Z59"/>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MD99-2331</t>
        </is>
      </c>
      <c r="B2" t="n">
        <v>-9.68</v>
      </c>
      <c r="C2" t="n">
        <v>42.15</v>
      </c>
      <c r="D2" t="inlineStr">
        <is>
          <t>Foram</t>
        </is>
      </c>
      <c r="N2" t="n">
        <v>1795</v>
      </c>
      <c r="P2" t="n">
        <v>15.54612234</v>
      </c>
      <c r="R2" t="n">
        <v>115096</v>
      </c>
      <c r="T2" t="n">
        <v>15.54612234</v>
      </c>
      <c r="V2" t="inlineStr">
        <is>
          <t>Sanchez Goñi, M.F., M.F. Loutre, M. Crucifix, O. Peyron, L. Santos, J. Duprat, B. Malaize, J.-L. Turon, and J.-P. Peypouquet. 2005. Increasing vegetation and climate gradient in Western Europe over the Last Glacial Inception (122–110 ka): data-model comparison. Earth and Planetary Science Letters, 231(1-2), 111-130. doi: 10.1016/j.epsl.2004.12.010</t>
        </is>
      </c>
      <c r="W2" t="inlineStr">
        <is>
          <t>https://www.ncei.noaa.gov/pub/data/paleo/contributions_by_author/sanchezgoni2013/sanchezgoni2013-md99-2331-sstfor.txt</t>
        </is>
      </c>
      <c r="X2" t="inlineStr">
        <is>
          <t>Chronology MD99-2331 Control points	Depth (cm)	Age  ka b2k GICC05 (Wolff et al., 2010) for D-O; Sanchez Goñi &amp; Harrison, 2010 for HS; Shackleton et al., 2000; Sanchez Goñi et al. 2012, Masson-Delmotte et al, 2010 PNAS and Waelbroeck per. com. D-O 2		23.34	Wolff et al., 2010 D-O 3		27.78	Wolff et al., 2010 D-O 4	805	28.9	Wolff et al., 2010</t>
        </is>
      </c>
      <c r="Y2" t="inlineStr">
        <is>
          <t>Abstract: High-resolution terrestrial (pollen) and marine (planktic and benthic isotopes, coarse fraction, and N. pachyderma (s)) analyses have been performed in the Marine Isotope Stage (MIS) 5 interval of IMAGES core MD99-2331 retrieved in the northwestern Iberian margin. This study shows the occurrence of a Zeifen Interstadial/Stadial succession on land and in the ocean during the first part of MIS 5e. In northwestern Iberia, the Eemian is marked from 126 to 122 ka by the development of deciduous Quercus forest at the same time as Mediterranean forest colonised southern Iberia, and deciduous Quercus-Corylus forest occupied northernmost European regions. From 121 to 115 ka Carpinus betulus forest developed in NW Iberia indicating a winter cooling by 2 °C on land and an increase in annual precipitation by 100–200 mm along with a Sea Surface Temperature (SST) decreasing trend off Iberia.</t>
        </is>
      </c>
      <c r="Z2" t="n">
        <v>-2110</v>
      </c>
    </row>
    <row r="3">
      <c r="N3" t="n">
        <v>1800</v>
      </c>
      <c r="P3" t="n">
        <v>17.50593203</v>
      </c>
      <c r="R3" t="n">
        <v>115956</v>
      </c>
      <c r="T3" t="n">
        <v>17.50593203</v>
      </c>
    </row>
    <row r="4">
      <c r="N4" t="n">
        <v>1805</v>
      </c>
      <c r="P4" t="n">
        <v>17.43187496</v>
      </c>
      <c r="R4" t="n">
        <v>116816</v>
      </c>
      <c r="T4" t="n">
        <v>17.43187496</v>
      </c>
    </row>
    <row r="5">
      <c r="N5" t="n">
        <v>1810</v>
      </c>
      <c r="P5" t="n">
        <v>18.80648114</v>
      </c>
      <c r="R5" t="n">
        <v>117676</v>
      </c>
      <c r="T5" t="n">
        <v>18.80648114</v>
      </c>
    </row>
    <row r="6">
      <c r="N6" t="n">
        <v>1815</v>
      </c>
      <c r="P6" t="n">
        <v>17.78412169</v>
      </c>
      <c r="R6" t="n">
        <v>118536</v>
      </c>
      <c r="T6" t="n">
        <v>17.78412169</v>
      </c>
    </row>
    <row r="7">
      <c r="N7" t="n">
        <v>1820</v>
      </c>
      <c r="P7" t="n">
        <v>17.90160203</v>
      </c>
      <c r="R7" t="n">
        <v>119396</v>
      </c>
      <c r="T7" t="n">
        <v>17.90160203</v>
      </c>
    </row>
    <row r="8">
      <c r="N8" t="n">
        <v>1825</v>
      </c>
      <c r="P8" t="n">
        <v>18.7045307</v>
      </c>
      <c r="R8" t="n">
        <v>120256</v>
      </c>
      <c r="T8" t="n">
        <v>18.7045307</v>
      </c>
    </row>
    <row r="9">
      <c r="N9" t="n">
        <v>1830</v>
      </c>
      <c r="P9" t="n">
        <v>18.34791358</v>
      </c>
      <c r="R9" t="n">
        <v>121116</v>
      </c>
      <c r="T9" t="n">
        <v>18.34791358</v>
      </c>
    </row>
    <row r="10">
      <c r="N10" t="n">
        <v>1835</v>
      </c>
      <c r="P10" t="n">
        <v>17.42711041</v>
      </c>
      <c r="R10" t="n">
        <v>121976</v>
      </c>
      <c r="T10" t="n">
        <v>17.42711041</v>
      </c>
    </row>
    <row r="11">
      <c r="N11" t="n">
        <v>1840</v>
      </c>
      <c r="P11" t="n">
        <v>18.28794813</v>
      </c>
      <c r="R11" t="n">
        <v>122836</v>
      </c>
      <c r="T11" t="n">
        <v>18.28794813</v>
      </c>
    </row>
    <row r="12">
      <c r="N12" t="n">
        <v>1845</v>
      </c>
      <c r="P12" t="n">
        <v>17.7383333</v>
      </c>
      <c r="R12" t="n">
        <v>123696</v>
      </c>
      <c r="T12" t="n">
        <v>17.7383333</v>
      </c>
    </row>
    <row r="13">
      <c r="N13" t="n">
        <v>1850</v>
      </c>
      <c r="P13" t="n">
        <v>19.74909891</v>
      </c>
      <c r="R13" t="n">
        <v>124556</v>
      </c>
      <c r="T13" t="n">
        <v>19.74909891</v>
      </c>
    </row>
    <row r="14">
      <c r="N14" t="n">
        <v>1852</v>
      </c>
      <c r="P14" t="n">
        <v>19.06358913</v>
      </c>
      <c r="R14" t="n">
        <v>124900</v>
      </c>
      <c r="T14" t="n">
        <v>19.06358913</v>
      </c>
    </row>
    <row r="15">
      <c r="N15" t="n">
        <v>1855</v>
      </c>
      <c r="P15" t="n">
        <v>19.88181719</v>
      </c>
      <c r="R15" t="n">
        <v>125416</v>
      </c>
      <c r="T15" t="n">
        <v>19.88181719</v>
      </c>
    </row>
    <row r="16">
      <c r="N16" t="n">
        <v>1857</v>
      </c>
      <c r="P16" t="n">
        <v>17.61759664</v>
      </c>
      <c r="R16" t="n">
        <v>125760</v>
      </c>
      <c r="T16" t="n">
        <v>17.61759664</v>
      </c>
    </row>
    <row r="17">
      <c r="N17" t="n">
        <v>1860</v>
      </c>
      <c r="P17" t="n">
        <v>19.36223237</v>
      </c>
      <c r="R17" t="n">
        <v>126276</v>
      </c>
      <c r="T17" t="n">
        <v>19.36223237</v>
      </c>
    </row>
    <row r="18">
      <c r="N18" t="n">
        <v>1862</v>
      </c>
      <c r="P18" t="n">
        <v>18.53015487</v>
      </c>
      <c r="R18" t="n">
        <v>126620</v>
      </c>
      <c r="T18" t="n">
        <v>18.53015487</v>
      </c>
    </row>
    <row r="19">
      <c r="N19" t="n">
        <v>1864</v>
      </c>
      <c r="P19" t="n">
        <v>18.41425181</v>
      </c>
      <c r="R19" t="n">
        <v>126964</v>
      </c>
      <c r="T19" t="n">
        <v>18.41425181</v>
      </c>
    </row>
    <row r="20">
      <c r="N20" t="n">
        <v>1865</v>
      </c>
      <c r="P20" t="n">
        <v>16.04811095</v>
      </c>
      <c r="R20" t="n">
        <v>127136</v>
      </c>
      <c r="T20" t="n">
        <v>16.04811095</v>
      </c>
    </row>
    <row r="21">
      <c r="N21" t="n">
        <v>1867</v>
      </c>
      <c r="P21" t="n">
        <v>16.62433478</v>
      </c>
      <c r="R21" t="n">
        <v>127480</v>
      </c>
      <c r="T21" t="n">
        <v>16.62433478</v>
      </c>
    </row>
    <row r="22">
      <c r="N22" t="n">
        <v>1870</v>
      </c>
      <c r="P22" t="n">
        <v>18.13881339</v>
      </c>
      <c r="R22" t="n">
        <v>127996</v>
      </c>
      <c r="T22" t="n">
        <v>18.13881339</v>
      </c>
    </row>
    <row r="23">
      <c r="N23" t="n">
        <v>1875</v>
      </c>
      <c r="P23" t="n">
        <v>17.65057415</v>
      </c>
      <c r="R23" t="n">
        <v>128856</v>
      </c>
      <c r="T23" t="n">
        <v>17.65057415</v>
      </c>
    </row>
    <row r="24">
      <c r="N24" t="n">
        <v>1880</v>
      </c>
      <c r="P24" t="n">
        <v>19.33791026</v>
      </c>
      <c r="R24" t="n">
        <v>129657.8947</v>
      </c>
      <c r="T24" t="n">
        <v>19.33791026</v>
      </c>
    </row>
    <row r="25">
      <c r="N25" t="n">
        <v>1882</v>
      </c>
      <c r="P25" t="n">
        <v>17.40785689</v>
      </c>
      <c r="R25" t="n">
        <v>129963.1579</v>
      </c>
      <c r="T25" t="n">
        <v>17.40785689</v>
      </c>
    </row>
    <row r="26">
      <c r="N26" t="n">
        <v>1885</v>
      </c>
      <c r="P26" t="n">
        <v>18.53318305</v>
      </c>
      <c r="R26" t="n">
        <v>130421.0526</v>
      </c>
      <c r="T26" t="n">
        <v>18.53318305</v>
      </c>
    </row>
    <row r="27">
      <c r="N27" t="n">
        <v>1887</v>
      </c>
      <c r="P27" t="n">
        <v>17.8585622</v>
      </c>
      <c r="R27" t="n">
        <v>130726.3158</v>
      </c>
      <c r="T27" t="n">
        <v>17.8585622</v>
      </c>
    </row>
    <row r="28">
      <c r="N28" t="n">
        <v>1890</v>
      </c>
      <c r="P28" t="n">
        <v>14.97317159</v>
      </c>
      <c r="R28" t="n">
        <v>131184.2105</v>
      </c>
      <c r="T28" t="n">
        <v>14.97317159</v>
      </c>
    </row>
    <row r="29">
      <c r="N29" t="n">
        <v>1892</v>
      </c>
      <c r="P29" t="n">
        <v>18.73102444</v>
      </c>
      <c r="R29" t="n">
        <v>131489.4737</v>
      </c>
      <c r="T29" t="n">
        <v>18.73102444</v>
      </c>
    </row>
    <row r="30">
      <c r="N30" t="n">
        <v>1895</v>
      </c>
      <c r="P30" t="n">
        <v>19.68235325</v>
      </c>
      <c r="R30" t="n">
        <v>131947.3684</v>
      </c>
      <c r="T30" t="n">
        <v>19.68235325</v>
      </c>
    </row>
    <row r="31">
      <c r="N31" t="n">
        <v>1900</v>
      </c>
      <c r="P31" t="n">
        <v>19.33521697</v>
      </c>
      <c r="R31" t="n">
        <v>132710.5263</v>
      </c>
      <c r="T31" t="n">
        <v>19.33521697</v>
      </c>
    </row>
    <row r="32">
      <c r="N32" t="n">
        <v>1905</v>
      </c>
      <c r="P32" t="n">
        <v>19.17674971</v>
      </c>
      <c r="R32" t="n">
        <v>133473.6842</v>
      </c>
      <c r="T32" t="n">
        <v>19.17674971</v>
      </c>
    </row>
    <row r="33">
      <c r="N33" t="n">
        <v>1910</v>
      </c>
      <c r="P33" t="n">
        <v>11.19995385</v>
      </c>
      <c r="R33" t="n">
        <v>134236.8421</v>
      </c>
      <c r="T33" t="n">
        <v>11.19995385</v>
      </c>
    </row>
    <row r="34">
      <c r="N34" t="n">
        <v>1915</v>
      </c>
      <c r="P34" t="n">
        <v>7.961731278</v>
      </c>
      <c r="R34" t="n">
        <v>135000</v>
      </c>
      <c r="T34" t="n">
        <v>7.961731278</v>
      </c>
    </row>
    <row r="35">
      <c r="N35" t="n">
        <v>1916</v>
      </c>
      <c r="P35" t="n">
        <v>7.512400188</v>
      </c>
      <c r="R35" t="n">
        <v>135038.7097</v>
      </c>
      <c r="T35" t="n">
        <v>7.512400188</v>
      </c>
    </row>
    <row r="36">
      <c r="N36" t="n">
        <v>1920</v>
      </c>
      <c r="P36" t="n">
        <v>7.382231746</v>
      </c>
      <c r="R36" t="n">
        <v>135193.5484</v>
      </c>
      <c r="T36" t="n">
        <v>7.382231746</v>
      </c>
    </row>
    <row r="37">
      <c r="N37" t="n">
        <v>1922</v>
      </c>
      <c r="P37" t="n">
        <v>7.505022528</v>
      </c>
      <c r="R37" t="n">
        <v>135270.9677</v>
      </c>
      <c r="T37" t="n">
        <v>7.505022528</v>
      </c>
    </row>
    <row r="38">
      <c r="N38" t="n">
        <v>1925</v>
      </c>
      <c r="P38" t="n">
        <v>7.417133645</v>
      </c>
      <c r="R38" t="n">
        <v>135387.0968</v>
      </c>
      <c r="T38" t="n">
        <v>7.417133645</v>
      </c>
    </row>
    <row r="39">
      <c r="N39" t="n">
        <v>1927</v>
      </c>
      <c r="P39" t="n">
        <v>7.191600176</v>
      </c>
      <c r="R39" t="n">
        <v>135464.5161</v>
      </c>
      <c r="T39" t="n">
        <v>7.191600176</v>
      </c>
    </row>
    <row r="40">
      <c r="N40" t="n">
        <v>1930</v>
      </c>
      <c r="P40" t="n">
        <v>7.402354554</v>
      </c>
      <c r="R40" t="n">
        <v>135580.6452</v>
      </c>
      <c r="T40" t="n">
        <v>7.402354554</v>
      </c>
    </row>
    <row r="41">
      <c r="N41" t="n">
        <v>1932</v>
      </c>
      <c r="P41" t="n">
        <v>7.555620971</v>
      </c>
      <c r="R41" t="n">
        <v>135658.0645</v>
      </c>
      <c r="T41" t="n">
        <v>7.555620971</v>
      </c>
    </row>
    <row r="42">
      <c r="N42" t="n">
        <v>1935</v>
      </c>
      <c r="P42" t="n">
        <v>4.843761981</v>
      </c>
      <c r="R42" t="n">
        <v>135774.1935</v>
      </c>
      <c r="T42" t="n">
        <v>4.843761981</v>
      </c>
    </row>
    <row r="43">
      <c r="N43" t="n">
        <v>1940</v>
      </c>
      <c r="P43" t="n">
        <v>4.044345308</v>
      </c>
      <c r="R43" t="n">
        <v>135967.7419</v>
      </c>
      <c r="T43" t="n">
        <v>4.044345308</v>
      </c>
    </row>
    <row r="44">
      <c r="N44" t="n">
        <v>1945</v>
      </c>
      <c r="P44" t="n">
        <v>4.290421492</v>
      </c>
      <c r="R44" t="n">
        <v>136161.2903</v>
      </c>
      <c r="T44" t="n">
        <v>4.290421492</v>
      </c>
    </row>
    <row r="45">
      <c r="N45" t="n">
        <v>1950</v>
      </c>
      <c r="P45" t="n">
        <v>4.340656308</v>
      </c>
      <c r="R45" t="n">
        <v>136354.8387</v>
      </c>
      <c r="T45" t="n">
        <v>4.340656308</v>
      </c>
    </row>
    <row r="46">
      <c r="N46" t="n">
        <v>1955</v>
      </c>
      <c r="P46" t="n">
        <v>5.06102822</v>
      </c>
      <c r="R46" t="n">
        <v>136548.3871</v>
      </c>
      <c r="T46" t="n">
        <v>5.06102822</v>
      </c>
    </row>
    <row r="47">
      <c r="N47" t="n">
        <v>1960</v>
      </c>
      <c r="P47" t="n">
        <v>7.67713935</v>
      </c>
      <c r="R47" t="n">
        <v>136741.9355</v>
      </c>
      <c r="T47" t="n">
        <v>7.67713935</v>
      </c>
    </row>
    <row r="48">
      <c r="N48" t="n">
        <v>1962</v>
      </c>
      <c r="P48" t="n">
        <v>7.456598422</v>
      </c>
      <c r="R48" t="n">
        <v>136819.3548</v>
      </c>
      <c r="T48" t="n">
        <v>7.456598422</v>
      </c>
    </row>
    <row r="49">
      <c r="N49" t="n">
        <v>1965</v>
      </c>
      <c r="P49" t="n">
        <v>7.590928574</v>
      </c>
      <c r="R49" t="n">
        <v>136935.4839</v>
      </c>
      <c r="T49" t="n">
        <v>7.590928574</v>
      </c>
    </row>
    <row r="50">
      <c r="N50" t="n">
        <v>1970</v>
      </c>
      <c r="P50" t="n">
        <v>6.018985347</v>
      </c>
      <c r="R50" t="n">
        <v>137129.0323</v>
      </c>
      <c r="T50" t="n">
        <v>6.018985347</v>
      </c>
    </row>
    <row r="51">
      <c r="N51" t="n">
        <v>1975</v>
      </c>
      <c r="P51" t="n">
        <v>3.95322525</v>
      </c>
      <c r="R51" t="n">
        <v>137322.5806</v>
      </c>
      <c r="T51" t="n">
        <v>3.95322525</v>
      </c>
    </row>
    <row r="52">
      <c r="N52" t="n">
        <v>1980</v>
      </c>
      <c r="P52" t="n">
        <v>6.625028784</v>
      </c>
      <c r="R52" t="n">
        <v>137516.129</v>
      </c>
      <c r="T52" t="n">
        <v>6.625028784</v>
      </c>
    </row>
    <row r="53">
      <c r="N53" t="n">
        <v>1985</v>
      </c>
      <c r="P53" t="n">
        <v>7.394880616</v>
      </c>
      <c r="R53" t="n">
        <v>137709.6774</v>
      </c>
      <c r="T53" t="n">
        <v>7.394880616</v>
      </c>
    </row>
    <row r="54">
      <c r="N54" t="n">
        <v>1990</v>
      </c>
      <c r="P54" t="n">
        <v>6.048207837</v>
      </c>
      <c r="R54" t="n">
        <v>137903.2258</v>
      </c>
      <c r="T54" t="n">
        <v>6.048207837</v>
      </c>
    </row>
    <row r="55">
      <c r="N55" t="n">
        <v>1995</v>
      </c>
      <c r="P55" t="n">
        <v>6.55951349</v>
      </c>
      <c r="R55" t="n">
        <v>138096.7742</v>
      </c>
      <c r="T55" t="n">
        <v>6.55951349</v>
      </c>
    </row>
    <row r="56">
      <c r="N56" t="n">
        <v>2000</v>
      </c>
      <c r="P56" t="n">
        <v>7.437545064</v>
      </c>
      <c r="R56" t="n">
        <v>138290.3226</v>
      </c>
      <c r="T56" t="n">
        <v>7.437545064</v>
      </c>
    </row>
    <row r="57">
      <c r="N57" t="n">
        <v>2005</v>
      </c>
      <c r="P57" t="n">
        <v>7.463627614</v>
      </c>
      <c r="R57" t="n">
        <v>138483.871</v>
      </c>
      <c r="T57" t="n">
        <v>7.463627614</v>
      </c>
    </row>
    <row r="58">
      <c r="N58" t="n">
        <v>2030</v>
      </c>
      <c r="P58" t="n">
        <v>9.715546806000001</v>
      </c>
      <c r="R58" t="n">
        <v>139451.6129</v>
      </c>
      <c r="T58" t="n">
        <v>9.715546806000001</v>
      </c>
    </row>
    <row r="59">
      <c r="N59" t="n">
        <v>2040</v>
      </c>
      <c r="P59" t="n">
        <v>7.380344343</v>
      </c>
      <c r="R59" t="n">
        <v>139838.7097</v>
      </c>
      <c r="T59" t="n">
        <v>7.380344343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ODP 1172A</t>
        </is>
      </c>
      <c r="B2" t="n">
        <v>49.93</v>
      </c>
      <c r="C2" t="n">
        <v>-43.97</v>
      </c>
      <c r="D2" t="inlineStr">
        <is>
          <t>MgCa</t>
        </is>
      </c>
      <c r="N2" t="n">
        <v>1.5</v>
      </c>
      <c r="O2" t="n">
        <v>2.351</v>
      </c>
      <c r="P2" t="n">
        <v>1.86</v>
      </c>
      <c r="R2" t="n">
        <v>117324</v>
      </c>
      <c r="T2" t="n">
        <v>1.86</v>
      </c>
      <c r="V2" t="inlineStr">
        <is>
          <t>Nuernberg, D., N. Brughmans, J. Schönfeld, U.S. Ninnemann, and C. Dullo. 2004. Paleo-export productivity, terrigenous flux, and sea surface temperature around Tasmania - Implications for glacial/interglacial changes in the Subtropical Convergence Zone. in Exon, N., J.P. Kennett, and M. Malone (eds.) The Cenozic Southern Ocean: Tectonics, Sedimentation and Climate Change Between Australia and Antarctica. Geophysical Monograph Series, 151, 291-318. doi:10.1029/151GM17.</t>
        </is>
      </c>
      <c r="W2" t="inlineStr">
        <is>
          <t>https://www.ncei.noaa.gov/pub/data/paleo/contributions_by_author/nuernberg2004b/nuernberg2004b.txt</t>
        </is>
      </c>
      <c r="X2" t="inlineStr"/>
      <c r="Y2" t="inlineStr"/>
      <c r="Z2" t="n">
        <v>-2622</v>
      </c>
    </row>
    <row r="3">
      <c r="N3" t="n">
        <v>1.38</v>
      </c>
      <c r="O3" t="n">
        <v>36</v>
      </c>
      <c r="P3" t="n">
        <v>13.5</v>
      </c>
      <c r="R3" t="n">
        <v>117410</v>
      </c>
      <c r="T3" t="n">
        <v>13.5</v>
      </c>
    </row>
    <row r="4">
      <c r="N4" t="n">
        <v>1.43</v>
      </c>
      <c r="O4" t="n">
        <v>32.5</v>
      </c>
      <c r="P4" t="n">
        <v>14.4</v>
      </c>
      <c r="R4" t="n">
        <v>121808</v>
      </c>
      <c r="T4" t="n">
        <v>14.4</v>
      </c>
    </row>
    <row r="5">
      <c r="N5" t="n">
        <v>1.55</v>
      </c>
      <c r="O5" t="n">
        <v>2.627</v>
      </c>
      <c r="P5" t="n">
        <v>1.87</v>
      </c>
      <c r="R5" t="n">
        <v>122560</v>
      </c>
      <c r="T5" t="n">
        <v>1.87</v>
      </c>
    </row>
    <row r="6">
      <c r="N6" t="n">
        <v>1.95</v>
      </c>
      <c r="O6" t="n">
        <v>92.8</v>
      </c>
      <c r="P6" t="n">
        <v>32.7</v>
      </c>
      <c r="R6" t="n">
        <v>122560</v>
      </c>
      <c r="T6" t="n">
        <v>32.7</v>
      </c>
    </row>
    <row r="7">
      <c r="N7" t="n">
        <v>2</v>
      </c>
      <c r="O7" t="n">
        <v>89.8</v>
      </c>
      <c r="P7" t="n">
        <v>35.7</v>
      </c>
      <c r="R7" t="n">
        <v>125700</v>
      </c>
      <c r="T7" t="n">
        <v>35.7</v>
      </c>
    </row>
    <row r="8">
      <c r="N8" t="n">
        <v>1.7</v>
      </c>
      <c r="O8" t="n">
        <v>43.2</v>
      </c>
      <c r="P8" t="n">
        <v>5.4</v>
      </c>
      <c r="R8" t="n">
        <v>126410</v>
      </c>
      <c r="T8" t="n">
        <v>5.4</v>
      </c>
    </row>
    <row r="9">
      <c r="N9" t="n">
        <v>1.6</v>
      </c>
      <c r="O9" t="n">
        <v>3.174</v>
      </c>
      <c r="P9" t="n">
        <v>2.01</v>
      </c>
      <c r="R9" t="n">
        <v>126740</v>
      </c>
      <c r="T9" t="n">
        <v>2.01</v>
      </c>
    </row>
    <row r="10">
      <c r="N10" t="n">
        <v>2.05</v>
      </c>
      <c r="O10" t="n">
        <v>90</v>
      </c>
      <c r="P10" t="n">
        <v>31.7</v>
      </c>
      <c r="R10" t="n">
        <v>128830</v>
      </c>
      <c r="T10" t="n">
        <v>31.7</v>
      </c>
    </row>
    <row r="11">
      <c r="N11" t="n">
        <v>1.75</v>
      </c>
      <c r="O11" t="n">
        <v>47.2</v>
      </c>
      <c r="P11" t="n">
        <v>4.5</v>
      </c>
      <c r="R11" t="n">
        <v>129330</v>
      </c>
      <c r="T11" t="n">
        <v>4.5</v>
      </c>
    </row>
    <row r="12">
      <c r="N12" t="n">
        <v>1.53</v>
      </c>
      <c r="O12" t="n">
        <v>39.2</v>
      </c>
      <c r="P12" t="n">
        <v>16</v>
      </c>
      <c r="R12" t="n">
        <v>130592</v>
      </c>
      <c r="T12" t="n">
        <v>16</v>
      </c>
    </row>
    <row r="13">
      <c r="N13" t="n">
        <v>1.65</v>
      </c>
      <c r="O13" t="n">
        <v>3.632</v>
      </c>
      <c r="P13" t="n">
        <v>2.18</v>
      </c>
      <c r="R13" t="n">
        <v>130920</v>
      </c>
      <c r="T13" t="n">
        <v>2.18</v>
      </c>
    </row>
    <row r="14">
      <c r="N14" t="n">
        <v>2.1</v>
      </c>
      <c r="O14" t="n">
        <v>89.90000000000001</v>
      </c>
      <c r="P14" t="n">
        <v>30.9</v>
      </c>
      <c r="R14" t="n">
        <v>131970</v>
      </c>
      <c r="T14" t="n">
        <v>30.9</v>
      </c>
    </row>
    <row r="15">
      <c r="N15" t="n">
        <v>1.8</v>
      </c>
      <c r="O15" t="n">
        <v>39.6</v>
      </c>
      <c r="P15" t="n">
        <v>4.2</v>
      </c>
      <c r="R15" t="n">
        <v>132250</v>
      </c>
      <c r="T15" t="n">
        <v>4.2</v>
      </c>
    </row>
    <row r="16">
      <c r="N16" t="n">
        <v>1.58</v>
      </c>
      <c r="O16" t="n">
        <v>42.3</v>
      </c>
      <c r="P16" t="n">
        <v>17.2</v>
      </c>
      <c r="R16" t="n">
        <v>134540</v>
      </c>
      <c r="T16" t="n">
        <v>17.2</v>
      </c>
    </row>
    <row r="17">
      <c r="N17" t="n">
        <v>1.85</v>
      </c>
      <c r="O17" t="n">
        <v>40.6</v>
      </c>
      <c r="P17" t="n">
        <v>3.5</v>
      </c>
      <c r="R17" t="n">
        <v>135090</v>
      </c>
      <c r="T17" t="n">
        <v>3.5</v>
      </c>
    </row>
    <row r="18">
      <c r="N18" t="n">
        <v>1.7</v>
      </c>
      <c r="O18" t="n">
        <v>3.237</v>
      </c>
      <c r="P18" t="n">
        <v>1.78</v>
      </c>
      <c r="R18" t="n">
        <v>135100</v>
      </c>
      <c r="T18" t="n">
        <v>1.78</v>
      </c>
    </row>
    <row r="19">
      <c r="N19" t="n">
        <v>2.15</v>
      </c>
      <c r="O19" t="n">
        <v>88</v>
      </c>
      <c r="P19" t="n">
        <v>28.6</v>
      </c>
      <c r="R19" t="n">
        <v>135100</v>
      </c>
      <c r="T19" t="n">
        <v>28.6</v>
      </c>
    </row>
    <row r="20">
      <c r="N20" t="n">
        <v>2.2</v>
      </c>
      <c r="O20" t="n">
        <v>89.59999999999999</v>
      </c>
      <c r="P20" t="n">
        <v>35.1</v>
      </c>
      <c r="R20" t="n">
        <v>136000</v>
      </c>
      <c r="T20" t="n">
        <v>35.1</v>
      </c>
    </row>
    <row r="21">
      <c r="N21" t="n">
        <v>2.25</v>
      </c>
      <c r="O21" t="n">
        <v>87.5</v>
      </c>
      <c r="P21" t="n">
        <v>27.4</v>
      </c>
      <c r="R21" t="n">
        <v>136900</v>
      </c>
      <c r="T21" t="n">
        <v>27.4</v>
      </c>
    </row>
    <row r="22">
      <c r="N22" t="n">
        <v>2.3</v>
      </c>
      <c r="O22" t="n">
        <v>86.8</v>
      </c>
      <c r="P22" t="n">
        <v>29.4</v>
      </c>
      <c r="R22" t="n">
        <v>137790</v>
      </c>
      <c r="T22" t="n">
        <v>29.4</v>
      </c>
    </row>
    <row r="23">
      <c r="N23" t="n">
        <v>1.63</v>
      </c>
      <c r="O23" t="n">
        <v>29.1</v>
      </c>
      <c r="P23" t="n">
        <v>21</v>
      </c>
      <c r="R23" t="n">
        <v>137840</v>
      </c>
      <c r="T23" t="n">
        <v>21</v>
      </c>
    </row>
    <row r="24">
      <c r="N24" t="n">
        <v>1.9</v>
      </c>
      <c r="O24" t="n">
        <v>46</v>
      </c>
      <c r="P24" t="n">
        <v>3.3</v>
      </c>
      <c r="R24" t="n">
        <v>137860</v>
      </c>
      <c r="T24" t="n">
        <v>3.3</v>
      </c>
    </row>
    <row r="25">
      <c r="N25" t="n">
        <v>2.35</v>
      </c>
      <c r="O25" t="n">
        <v>87.2</v>
      </c>
      <c r="P25" t="n">
        <v>29.8</v>
      </c>
      <c r="R25" t="n">
        <v>138690</v>
      </c>
      <c r="T25" t="n">
        <v>29.8</v>
      </c>
    </row>
    <row r="26">
      <c r="N26" t="n">
        <v>2.4</v>
      </c>
      <c r="O26" t="n">
        <v>88</v>
      </c>
      <c r="P26" t="n">
        <v>30.3</v>
      </c>
      <c r="R26" t="n">
        <v>139590</v>
      </c>
      <c r="T26" t="n">
        <v>30.3</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ODP 1170A</t>
        </is>
      </c>
      <c r="B2" t="n">
        <v>146.03</v>
      </c>
      <c r="C2" t="n">
        <v>-47.15</v>
      </c>
      <c r="D2" t="inlineStr">
        <is>
          <t>MgCa</t>
        </is>
      </c>
      <c r="N2" t="n">
        <v>1.5</v>
      </c>
      <c r="O2" t="n">
        <v>2.351</v>
      </c>
      <c r="P2" t="n">
        <v>1.86</v>
      </c>
      <c r="R2" t="n">
        <v>117324</v>
      </c>
      <c r="T2" t="n">
        <v>1.86</v>
      </c>
      <c r="V2" t="inlineStr">
        <is>
          <t>Nuernberg, D., N. Brughmans, J. Schönfeld, U.S. Ninnemann, and C. Dullo. 2004. Paleo-export productivity, terrigenous flux, and sea surface temperature around Tasmania - Implications for glacial/interglacial changes in the Subtropical Convergence Zone. in Exon, N., J.P. Kennett, and M. Malone (eds.) The Cenozic Southern Ocean: Tectonics, Sedimentation and Climate Change Between Australia and Antarctica. Geophysical Monograph Series, 151, 291-318. doi:10.1029/151GM17.</t>
        </is>
      </c>
      <c r="W2" t="inlineStr">
        <is>
          <t>https://www.ncei.noaa.gov/pub/data/paleo/contributions_by_author/nuernberg2004b/nuernberg2004b.txt</t>
        </is>
      </c>
      <c r="X2" t="inlineStr"/>
      <c r="Y2" t="inlineStr"/>
      <c r="Z2" t="n">
        <v>-2705</v>
      </c>
    </row>
    <row r="3">
      <c r="N3" t="n">
        <v>1.38</v>
      </c>
      <c r="O3" t="n">
        <v>36</v>
      </c>
      <c r="P3" t="n">
        <v>13.5</v>
      </c>
      <c r="R3" t="n">
        <v>117410</v>
      </c>
      <c r="T3" t="n">
        <v>13.5</v>
      </c>
    </row>
    <row r="4">
      <c r="N4" t="n">
        <v>1.43</v>
      </c>
      <c r="O4" t="n">
        <v>32.5</v>
      </c>
      <c r="P4" t="n">
        <v>14.4</v>
      </c>
      <c r="R4" t="n">
        <v>121808</v>
      </c>
      <c r="T4" t="n">
        <v>14.4</v>
      </c>
    </row>
    <row r="5">
      <c r="N5" t="n">
        <v>1.55</v>
      </c>
      <c r="O5" t="n">
        <v>2.627</v>
      </c>
      <c r="P5" t="n">
        <v>1.87</v>
      </c>
      <c r="R5" t="n">
        <v>122560</v>
      </c>
      <c r="T5" t="n">
        <v>1.87</v>
      </c>
    </row>
    <row r="6">
      <c r="N6" t="n">
        <v>1.95</v>
      </c>
      <c r="O6" t="n">
        <v>92.8</v>
      </c>
      <c r="P6" t="n">
        <v>32.7</v>
      </c>
      <c r="R6" t="n">
        <v>122560</v>
      </c>
      <c r="T6" t="n">
        <v>32.7</v>
      </c>
    </row>
    <row r="7">
      <c r="N7" t="n">
        <v>2</v>
      </c>
      <c r="O7" t="n">
        <v>89.8</v>
      </c>
      <c r="P7" t="n">
        <v>35.7</v>
      </c>
      <c r="R7" t="n">
        <v>125700</v>
      </c>
      <c r="T7" t="n">
        <v>35.7</v>
      </c>
    </row>
    <row r="8">
      <c r="N8" t="n">
        <v>1.7</v>
      </c>
      <c r="O8" t="n">
        <v>43.2</v>
      </c>
      <c r="P8" t="n">
        <v>5.4</v>
      </c>
      <c r="R8" t="n">
        <v>126410</v>
      </c>
      <c r="T8" t="n">
        <v>5.4</v>
      </c>
    </row>
    <row r="9">
      <c r="N9" t="n">
        <v>1.6</v>
      </c>
      <c r="O9" t="n">
        <v>3.174</v>
      </c>
      <c r="P9" t="n">
        <v>2.01</v>
      </c>
      <c r="R9" t="n">
        <v>126740</v>
      </c>
      <c r="T9" t="n">
        <v>2.01</v>
      </c>
    </row>
    <row r="10">
      <c r="N10" t="n">
        <v>2.05</v>
      </c>
      <c r="O10" t="n">
        <v>90</v>
      </c>
      <c r="P10" t="n">
        <v>31.7</v>
      </c>
      <c r="R10" t="n">
        <v>128830</v>
      </c>
      <c r="T10" t="n">
        <v>31.7</v>
      </c>
    </row>
    <row r="11">
      <c r="N11" t="n">
        <v>1.75</v>
      </c>
      <c r="O11" t="n">
        <v>47.2</v>
      </c>
      <c r="P11" t="n">
        <v>4.5</v>
      </c>
      <c r="R11" t="n">
        <v>129330</v>
      </c>
      <c r="T11" t="n">
        <v>4.5</v>
      </c>
    </row>
    <row r="12">
      <c r="N12" t="n">
        <v>1.53</v>
      </c>
      <c r="O12" t="n">
        <v>39.2</v>
      </c>
      <c r="P12" t="n">
        <v>16</v>
      </c>
      <c r="R12" t="n">
        <v>130592</v>
      </c>
      <c r="T12" t="n">
        <v>16</v>
      </c>
    </row>
    <row r="13">
      <c r="N13" t="n">
        <v>1.65</v>
      </c>
      <c r="O13" t="n">
        <v>3.632</v>
      </c>
      <c r="P13" t="n">
        <v>2.18</v>
      </c>
      <c r="R13" t="n">
        <v>130920</v>
      </c>
      <c r="T13" t="n">
        <v>2.18</v>
      </c>
    </row>
    <row r="14">
      <c r="N14" t="n">
        <v>2.1</v>
      </c>
      <c r="O14" t="n">
        <v>89.90000000000001</v>
      </c>
      <c r="P14" t="n">
        <v>30.9</v>
      </c>
      <c r="R14" t="n">
        <v>131970</v>
      </c>
      <c r="T14" t="n">
        <v>30.9</v>
      </c>
    </row>
    <row r="15">
      <c r="N15" t="n">
        <v>1.8</v>
      </c>
      <c r="O15" t="n">
        <v>39.6</v>
      </c>
      <c r="P15" t="n">
        <v>4.2</v>
      </c>
      <c r="R15" t="n">
        <v>132250</v>
      </c>
      <c r="T15" t="n">
        <v>4.2</v>
      </c>
    </row>
    <row r="16">
      <c r="N16" t="n">
        <v>1.58</v>
      </c>
      <c r="O16" t="n">
        <v>42.3</v>
      </c>
      <c r="P16" t="n">
        <v>17.2</v>
      </c>
      <c r="R16" t="n">
        <v>134540</v>
      </c>
      <c r="T16" t="n">
        <v>17.2</v>
      </c>
    </row>
    <row r="17">
      <c r="N17" t="n">
        <v>1.85</v>
      </c>
      <c r="O17" t="n">
        <v>40.6</v>
      </c>
      <c r="P17" t="n">
        <v>3.5</v>
      </c>
      <c r="R17" t="n">
        <v>135090</v>
      </c>
      <c r="T17" t="n">
        <v>3.5</v>
      </c>
    </row>
    <row r="18">
      <c r="N18" t="n">
        <v>1.7</v>
      </c>
      <c r="O18" t="n">
        <v>3.237</v>
      </c>
      <c r="P18" t="n">
        <v>1.78</v>
      </c>
      <c r="R18" t="n">
        <v>135100</v>
      </c>
      <c r="T18" t="n">
        <v>1.78</v>
      </c>
    </row>
    <row r="19">
      <c r="N19" t="n">
        <v>2.15</v>
      </c>
      <c r="O19" t="n">
        <v>88</v>
      </c>
      <c r="P19" t="n">
        <v>28.6</v>
      </c>
      <c r="R19" t="n">
        <v>135100</v>
      </c>
      <c r="T19" t="n">
        <v>28.6</v>
      </c>
    </row>
    <row r="20">
      <c r="N20" t="n">
        <v>2.2</v>
      </c>
      <c r="O20" t="n">
        <v>89.59999999999999</v>
      </c>
      <c r="P20" t="n">
        <v>35.1</v>
      </c>
      <c r="R20" t="n">
        <v>136000</v>
      </c>
      <c r="T20" t="n">
        <v>35.1</v>
      </c>
    </row>
    <row r="21">
      <c r="N21" t="n">
        <v>2.25</v>
      </c>
      <c r="O21" t="n">
        <v>87.5</v>
      </c>
      <c r="P21" t="n">
        <v>27.4</v>
      </c>
      <c r="R21" t="n">
        <v>136900</v>
      </c>
      <c r="T21" t="n">
        <v>27.4</v>
      </c>
    </row>
    <row r="22">
      <c r="N22" t="n">
        <v>2.3</v>
      </c>
      <c r="O22" t="n">
        <v>86.8</v>
      </c>
      <c r="P22" t="n">
        <v>29.4</v>
      </c>
      <c r="R22" t="n">
        <v>137790</v>
      </c>
      <c r="T22" t="n">
        <v>29.4</v>
      </c>
    </row>
    <row r="23">
      <c r="N23" t="n">
        <v>1.63</v>
      </c>
      <c r="O23" t="n">
        <v>29.1</v>
      </c>
      <c r="P23" t="n">
        <v>21</v>
      </c>
      <c r="R23" t="n">
        <v>137840</v>
      </c>
      <c r="T23" t="n">
        <v>21</v>
      </c>
    </row>
    <row r="24">
      <c r="N24" t="n">
        <v>1.9</v>
      </c>
      <c r="O24" t="n">
        <v>46</v>
      </c>
      <c r="P24" t="n">
        <v>3.3</v>
      </c>
      <c r="R24" t="n">
        <v>137860</v>
      </c>
      <c r="T24" t="n">
        <v>3.3</v>
      </c>
    </row>
    <row r="25">
      <c r="N25" t="n">
        <v>2.35</v>
      </c>
      <c r="O25" t="n">
        <v>87.2</v>
      </c>
      <c r="P25" t="n">
        <v>29.8</v>
      </c>
      <c r="R25" t="n">
        <v>138690</v>
      </c>
      <c r="T25" t="n">
        <v>29.8</v>
      </c>
    </row>
    <row r="26">
      <c r="N26" t="n">
        <v>2.4</v>
      </c>
      <c r="O26" t="n">
        <v>88</v>
      </c>
      <c r="P26" t="n">
        <v>30.3</v>
      </c>
      <c r="R26" t="n">
        <v>139590</v>
      </c>
      <c r="T26" t="n">
        <v>30.3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ODP 1168A</t>
        </is>
      </c>
      <c r="B2" t="n">
        <v>144.4</v>
      </c>
      <c r="C2" t="n">
        <v>-42.6</v>
      </c>
      <c r="D2" t="inlineStr">
        <is>
          <t>MgCa</t>
        </is>
      </c>
      <c r="N2" t="n">
        <v>1.5</v>
      </c>
      <c r="O2" t="n">
        <v>2.351</v>
      </c>
      <c r="P2" t="n">
        <v>1.86</v>
      </c>
      <c r="R2" t="n">
        <v>117324</v>
      </c>
      <c r="T2" t="n">
        <v>1.86</v>
      </c>
      <c r="V2" t="inlineStr">
        <is>
          <t>Nuernberg, D., N. Brughmans, J. Schönfeld, U.S. Ninnemann, and C. Dullo. 2004. Paleo-export productivity, terrigenous flux, and sea surface temperature around Tasmania - Implications for glacial/interglacial changes in the Subtropical Convergence Zone. in Exon, N., J.P. Kennett, and M. Malone (eds.) The Cenozic Southern Ocean: Tectonics, Sedimentation and Climate Change Between Australia and Antarctica. Geophysical Monograph Series, 151, 291-318. doi:10.1029/151GM17.</t>
        </is>
      </c>
      <c r="W2" t="inlineStr">
        <is>
          <t>https://www.ncei.noaa.gov/pub/data/paleo/contributions_by_author/nuernberg2004b/nuernberg2004b.txt</t>
        </is>
      </c>
      <c r="X2" t="inlineStr"/>
      <c r="Y2" t="inlineStr"/>
      <c r="Z2" t="n">
        <v>-2463</v>
      </c>
    </row>
    <row r="3">
      <c r="N3" t="n">
        <v>1.38</v>
      </c>
      <c r="O3" t="n">
        <v>36</v>
      </c>
      <c r="P3" t="n">
        <v>13.5</v>
      </c>
      <c r="R3" t="n">
        <v>117410</v>
      </c>
      <c r="T3" t="n">
        <v>13.5</v>
      </c>
    </row>
    <row r="4">
      <c r="N4" t="n">
        <v>1.43</v>
      </c>
      <c r="O4" t="n">
        <v>32.5</v>
      </c>
      <c r="P4" t="n">
        <v>14.4</v>
      </c>
      <c r="R4" t="n">
        <v>121808</v>
      </c>
      <c r="T4" t="n">
        <v>14.4</v>
      </c>
    </row>
    <row r="5">
      <c r="N5" t="n">
        <v>1.55</v>
      </c>
      <c r="O5" t="n">
        <v>2.627</v>
      </c>
      <c r="P5" t="n">
        <v>1.87</v>
      </c>
      <c r="R5" t="n">
        <v>122560</v>
      </c>
      <c r="T5" t="n">
        <v>1.87</v>
      </c>
    </row>
    <row r="6">
      <c r="N6" t="n">
        <v>1.95</v>
      </c>
      <c r="O6" t="n">
        <v>92.8</v>
      </c>
      <c r="P6" t="n">
        <v>32.7</v>
      </c>
      <c r="R6" t="n">
        <v>122560</v>
      </c>
      <c r="T6" t="n">
        <v>32.7</v>
      </c>
    </row>
    <row r="7">
      <c r="N7" t="n">
        <v>2</v>
      </c>
      <c r="O7" t="n">
        <v>89.8</v>
      </c>
      <c r="P7" t="n">
        <v>35.7</v>
      </c>
      <c r="R7" t="n">
        <v>125700</v>
      </c>
      <c r="T7" t="n">
        <v>35.7</v>
      </c>
    </row>
    <row r="8">
      <c r="N8" t="n">
        <v>1.7</v>
      </c>
      <c r="O8" t="n">
        <v>43.2</v>
      </c>
      <c r="P8" t="n">
        <v>5.4</v>
      </c>
      <c r="R8" t="n">
        <v>126410</v>
      </c>
      <c r="T8" t="n">
        <v>5.4</v>
      </c>
    </row>
    <row r="9">
      <c r="N9" t="n">
        <v>1.6</v>
      </c>
      <c r="O9" t="n">
        <v>3.174</v>
      </c>
      <c r="P9" t="n">
        <v>2.01</v>
      </c>
      <c r="R9" t="n">
        <v>126740</v>
      </c>
      <c r="T9" t="n">
        <v>2.01</v>
      </c>
    </row>
    <row r="10">
      <c r="N10" t="n">
        <v>2.05</v>
      </c>
      <c r="O10" t="n">
        <v>90</v>
      </c>
      <c r="P10" t="n">
        <v>31.7</v>
      </c>
      <c r="R10" t="n">
        <v>128830</v>
      </c>
      <c r="T10" t="n">
        <v>31.7</v>
      </c>
    </row>
    <row r="11">
      <c r="N11" t="n">
        <v>1.75</v>
      </c>
      <c r="O11" t="n">
        <v>47.2</v>
      </c>
      <c r="P11" t="n">
        <v>4.5</v>
      </c>
      <c r="R11" t="n">
        <v>129330</v>
      </c>
      <c r="T11" t="n">
        <v>4.5</v>
      </c>
    </row>
    <row r="12">
      <c r="N12" t="n">
        <v>1.53</v>
      </c>
      <c r="O12" t="n">
        <v>39.2</v>
      </c>
      <c r="P12" t="n">
        <v>16</v>
      </c>
      <c r="R12" t="n">
        <v>130592</v>
      </c>
      <c r="T12" t="n">
        <v>16</v>
      </c>
    </row>
    <row r="13">
      <c r="N13" t="n">
        <v>1.65</v>
      </c>
      <c r="O13" t="n">
        <v>3.632</v>
      </c>
      <c r="P13" t="n">
        <v>2.18</v>
      </c>
      <c r="R13" t="n">
        <v>130920</v>
      </c>
      <c r="T13" t="n">
        <v>2.18</v>
      </c>
    </row>
    <row r="14">
      <c r="N14" t="n">
        <v>2.1</v>
      </c>
      <c r="O14" t="n">
        <v>89.90000000000001</v>
      </c>
      <c r="P14" t="n">
        <v>30.9</v>
      </c>
      <c r="R14" t="n">
        <v>131970</v>
      </c>
      <c r="T14" t="n">
        <v>30.9</v>
      </c>
    </row>
    <row r="15">
      <c r="N15" t="n">
        <v>1.8</v>
      </c>
      <c r="O15" t="n">
        <v>39.6</v>
      </c>
      <c r="P15" t="n">
        <v>4.2</v>
      </c>
      <c r="R15" t="n">
        <v>132250</v>
      </c>
      <c r="T15" t="n">
        <v>4.2</v>
      </c>
    </row>
    <row r="16">
      <c r="N16" t="n">
        <v>1.58</v>
      </c>
      <c r="O16" t="n">
        <v>42.3</v>
      </c>
      <c r="P16" t="n">
        <v>17.2</v>
      </c>
      <c r="R16" t="n">
        <v>134540</v>
      </c>
      <c r="T16" t="n">
        <v>17.2</v>
      </c>
    </row>
    <row r="17">
      <c r="N17" t="n">
        <v>1.85</v>
      </c>
      <c r="O17" t="n">
        <v>40.6</v>
      </c>
      <c r="P17" t="n">
        <v>3.5</v>
      </c>
      <c r="R17" t="n">
        <v>135090</v>
      </c>
      <c r="T17" t="n">
        <v>3.5</v>
      </c>
    </row>
    <row r="18">
      <c r="N18" t="n">
        <v>1.7</v>
      </c>
      <c r="O18" t="n">
        <v>3.237</v>
      </c>
      <c r="P18" t="n">
        <v>1.78</v>
      </c>
      <c r="R18" t="n">
        <v>135100</v>
      </c>
      <c r="T18" t="n">
        <v>1.78</v>
      </c>
    </row>
    <row r="19">
      <c r="N19" t="n">
        <v>2.15</v>
      </c>
      <c r="O19" t="n">
        <v>88</v>
      </c>
      <c r="P19" t="n">
        <v>28.6</v>
      </c>
      <c r="R19" t="n">
        <v>135100</v>
      </c>
      <c r="T19" t="n">
        <v>28.6</v>
      </c>
    </row>
    <row r="20">
      <c r="N20" t="n">
        <v>2.2</v>
      </c>
      <c r="O20" t="n">
        <v>89.59999999999999</v>
      </c>
      <c r="P20" t="n">
        <v>35.1</v>
      </c>
      <c r="R20" t="n">
        <v>136000</v>
      </c>
      <c r="T20" t="n">
        <v>35.1</v>
      </c>
    </row>
    <row r="21">
      <c r="N21" t="n">
        <v>2.25</v>
      </c>
      <c r="O21" t="n">
        <v>87.5</v>
      </c>
      <c r="P21" t="n">
        <v>27.4</v>
      </c>
      <c r="R21" t="n">
        <v>136900</v>
      </c>
      <c r="T21" t="n">
        <v>27.4</v>
      </c>
    </row>
    <row r="22">
      <c r="N22" t="n">
        <v>2.3</v>
      </c>
      <c r="O22" t="n">
        <v>86.8</v>
      </c>
      <c r="P22" t="n">
        <v>29.4</v>
      </c>
      <c r="R22" t="n">
        <v>137790</v>
      </c>
      <c r="T22" t="n">
        <v>29.4</v>
      </c>
    </row>
    <row r="23">
      <c r="N23" t="n">
        <v>1.63</v>
      </c>
      <c r="O23" t="n">
        <v>29.1</v>
      </c>
      <c r="P23" t="n">
        <v>21</v>
      </c>
      <c r="R23" t="n">
        <v>137840</v>
      </c>
      <c r="T23" t="n">
        <v>21</v>
      </c>
    </row>
    <row r="24">
      <c r="N24" t="n">
        <v>1.9</v>
      </c>
      <c r="O24" t="n">
        <v>46</v>
      </c>
      <c r="P24" t="n">
        <v>3.3</v>
      </c>
      <c r="R24" t="n">
        <v>137860</v>
      </c>
      <c r="T24" t="n">
        <v>3.3</v>
      </c>
    </row>
    <row r="25">
      <c r="N25" t="n">
        <v>2.35</v>
      </c>
      <c r="O25" t="n">
        <v>87.2</v>
      </c>
      <c r="P25" t="n">
        <v>29.8</v>
      </c>
      <c r="R25" t="n">
        <v>138690</v>
      </c>
      <c r="T25" t="n">
        <v>29.8</v>
      </c>
    </row>
    <row r="26">
      <c r="N26" t="n">
        <v>2.4</v>
      </c>
      <c r="O26" t="n">
        <v>88</v>
      </c>
      <c r="P26" t="n">
        <v>30.3</v>
      </c>
      <c r="R26" t="n">
        <v>139590</v>
      </c>
      <c r="T26" t="n">
        <v>30.3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Z8"/>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ODP 1125</t>
        </is>
      </c>
      <c r="B2" t="n">
        <v>-178.1665</v>
      </c>
      <c r="C2" t="n">
        <v>-42.54993</v>
      </c>
      <c r="D2" t="inlineStr">
        <is>
          <t>UK37</t>
        </is>
      </c>
      <c r="N2" t="n">
        <v>0.07000000000000001</v>
      </c>
      <c r="O2" t="n">
        <v>0.624</v>
      </c>
      <c r="P2" t="n">
        <v>17.6</v>
      </c>
      <c r="R2" t="n">
        <v>125500</v>
      </c>
      <c r="T2" t="n">
        <v>17.6</v>
      </c>
      <c r="V2" t="inlineStr">
        <is>
          <t>L.C. Peterson, K.T. Lawrence, T.D. Herbert, R. Caballero-Gill, J. Wilson, K. Huska, H. Miller, C. Kelly, J. Seidenstein, D. Hovey, and L. Holte. 2020. Plio-Pleistocene hemispheric (a)symmetries in the northern and southern hemisphere mid-latitudes. Paleoceanography and Paleoclimatology, 35(3), e2019PA003720. doi: 10.1029/2019PA003720</t>
        </is>
      </c>
      <c r="W2" t="inlineStr">
        <is>
          <t>https://www.ncei.noaa.gov/pub/data/paleo/contributions_by_author/peterson2019/peterson2019-odp1125-sst.txt</t>
        </is>
      </c>
      <c r="X2" t="inlineStr">
        <is>
          <t xml:space="preserve">Chronology_Information | Chronology: Chronology is based upon oxygen isotope stratigraphy using the accompanying benthic ?18O record from Site 1125. After initial age tiepoints were assigned based on visual correlation between the Site 1125 oxygen isotope record and the LR04 benthic ?18O stack, the oxygen isotope record was filtered at the obliquity frequency and tuned peak-to-peak to the obliquity-filtered LR04 benthic ?18O record. rMCD	age (ka) 0.5733287907	145.1141105 4.845430894	311.9429539 5.473060691	349.0295518 | Chronology is based upon oxygen isotope stratigraphy using the accompanying benthic ?18O record from Site 1125. After initial age tiepoints were assigned based on visual correlation between the Site 1125 oxygen isotope record and the LR04 benthic ?18O stack, the oxygen isotope record was filtered at the obliquity frequency and tuned peak-to-peak to the obliquity-filtered </t>
        </is>
      </c>
      <c r="Y2" t="inlineStr">
        <is>
          <t>Abstract: The transition from the warm, stable climate of the Pliocene to the progressively colder glaciations of the Pleistocene, as well as the climate system's evolving response to stationary orbital forcing over the Pleistocene, beg important questions about fundamental climate processes relevant to understanding the impacts of modern anthropogenic forcing of the Earth's energy budget. Here, we gain insight into the evolution of Plio-Pleistocene climate by generating an alkenone-derived, orbitally resolved sea surface temperature (SST) record from Ocean Drilling Program Site 1125 in the southwest Pacific. We compare our dataset to mid-latitude and equatorial SST records and to the benthic ?18O signal in order to evaluate similarities and differences in climate response between the hemispheres and across latitudes over the Plio-Pleistocene. Secular trends indicate first order symmetry</t>
        </is>
      </c>
      <c r="Z2" t="n">
        <v>-1365</v>
      </c>
    </row>
    <row r="3">
      <c r="N3" t="n">
        <v>0.13</v>
      </c>
      <c r="O3" t="n">
        <v>0.5679999999999999</v>
      </c>
      <c r="P3" t="n">
        <v>15.9</v>
      </c>
      <c r="R3" t="n">
        <v>127900</v>
      </c>
      <c r="T3" t="n">
        <v>15.9</v>
      </c>
    </row>
    <row r="4">
      <c r="N4" t="n">
        <v>0.19</v>
      </c>
      <c r="O4" t="n">
        <v>0.536</v>
      </c>
      <c r="P4" t="n">
        <v>14.9</v>
      </c>
      <c r="R4" t="n">
        <v>130200</v>
      </c>
      <c r="T4" t="n">
        <v>14.9</v>
      </c>
    </row>
    <row r="5">
      <c r="N5" t="n">
        <v>0.25</v>
      </c>
      <c r="O5" t="n">
        <v>0.481</v>
      </c>
      <c r="P5" t="n">
        <v>13.3</v>
      </c>
      <c r="R5" t="n">
        <v>132500</v>
      </c>
      <c r="T5" t="n">
        <v>13.3</v>
      </c>
    </row>
    <row r="6">
      <c r="N6" t="n">
        <v>0.33</v>
      </c>
      <c r="O6" t="n">
        <v>0.444</v>
      </c>
      <c r="P6" t="n">
        <v>12.1</v>
      </c>
      <c r="R6" t="n">
        <v>135600</v>
      </c>
      <c r="T6" t="n">
        <v>12.1</v>
      </c>
    </row>
    <row r="7">
      <c r="N7" t="n">
        <v>0.37</v>
      </c>
      <c r="O7" t="n">
        <v>0.428</v>
      </c>
      <c r="P7" t="n">
        <v>11.6</v>
      </c>
      <c r="R7" t="n">
        <v>137200</v>
      </c>
      <c r="T7" t="n">
        <v>11.6</v>
      </c>
    </row>
    <row r="8">
      <c r="N8" t="n">
        <v>0.44</v>
      </c>
      <c r="O8" t="n">
        <v>0.431</v>
      </c>
      <c r="P8" t="n">
        <v>11.7</v>
      </c>
      <c r="R8" t="n">
        <v>139900</v>
      </c>
      <c r="T8" t="n">
        <v>11.7</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ODP 847</t>
        </is>
      </c>
      <c r="B2" t="n">
        <v>-95.31999999999999</v>
      </c>
      <c r="C2" t="n">
        <v>0.2</v>
      </c>
      <c r="D2" t="inlineStr">
        <is>
          <t>MgCa</t>
        </is>
      </c>
      <c r="O2" t="n">
        <v>2.541</v>
      </c>
      <c r="P2" t="n">
        <v>24.623</v>
      </c>
      <c r="R2" t="n">
        <v>120000</v>
      </c>
      <c r="T2" t="n">
        <v>24.623</v>
      </c>
      <c r="V2" t="inlineStr">
        <is>
          <t>Medina-Elizalde, M., D.W. Lea, and M.S. Fantle. 2008. Implications of seawater Mg/Ca variability for Plio-Pleistocene tropical climate reconstruction. Earth and Planetary Science Letters, 269(3-4), 585-595. doi: 10.1016/j.epsl.2008.03.014</t>
        </is>
      </c>
      <c r="W2" t="inlineStr">
        <is>
          <t>https://www.ncei.noaa.gov/pub/data/paleo/paleocean/sediment_files/complete/odp847-tab.txt</t>
        </is>
      </c>
      <c r="X2" t="inlineStr"/>
      <c r="Y2" t="inlineStr">
        <is>
          <t>Variables: depth         Depth (cm) yrBP          radiocarbon years B.P. (Libby half-life; B.P. = 1950) Mg/Ca-g.sac   Magnesium/Calcium ratio (Globigerinoides sacculifer) (mmol/mol) sst-mg/ca     Sea surface temperature from Mg/Ca sst-mg/ca.adj Sea surface temperature from Mg/Ca adjusted for Mg/Ca variation</t>
        </is>
      </c>
      <c r="Z2" t="n">
        <v>-3373</v>
      </c>
    </row>
    <row r="3">
      <c r="O3" t="n">
        <v>2.433</v>
      </c>
      <c r="P3" t="n">
        <v>24.141</v>
      </c>
      <c r="R3" t="n">
        <v>132000</v>
      </c>
      <c r="T3" t="n">
        <v>24.141</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Z14"/>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GeoB10083</t>
        </is>
      </c>
      <c r="B2" t="n">
        <v>10.32</v>
      </c>
      <c r="C2" t="n">
        <v>-6.58</v>
      </c>
      <c r="D2" t="inlineStr">
        <is>
          <t>UK37</t>
        </is>
      </c>
      <c r="N2" t="n">
        <v>788</v>
      </c>
      <c r="O2" t="n">
        <v>0.893</v>
      </c>
      <c r="P2" t="n">
        <v>25.1</v>
      </c>
      <c r="R2" t="n">
        <v>116600</v>
      </c>
      <c r="S2" t="n">
        <v>24.94</v>
      </c>
      <c r="T2" t="n">
        <v>25.1</v>
      </c>
      <c r="U2" t="n">
        <v>25.26</v>
      </c>
      <c r="V2" t="inlineStr">
        <is>
          <t>Schneider, R.R., P.J. Mueller, and G. Ruhland. 1995. Late Quaternary surface circulation in the east-equatorial South Atlantic: evidence from alkenone sea surface temperatures. Paleoceanography, 10(2), 197-219. doi: 10.1029/94PA03308</t>
        </is>
      </c>
      <c r="W2" t="inlineStr">
        <is>
          <t>https://www.ncei.noaa.gov/pub/data/paleo/paleocean/sediment_files/complete/gb10083-tab.txt</t>
        </is>
      </c>
      <c r="X2" t="inlineStr"/>
      <c r="Y2" t="inlineStr">
        <is>
          <t>(U-k-37, after Brassell et al, 1986) with the temperature calibration of PRAHL, et al.(1988):SST=(Uk37-0.039)/0.034). SST &amp; UK37 data measured 7/15/93. | Variables: depth         Depth (cm) yrBP          radiocarbon years B.P. (Libby half-life; B.P. = 1950) d18Og.rub250-350            delta O18 PDB (Globigerinoides ruber 250-350 micron) sst           Sea Surface Temperature (C) uk37          Alkenone saturation index</t>
        </is>
      </c>
      <c r="Z2" t="n">
        <v>-3124</v>
      </c>
    </row>
    <row r="3">
      <c r="N3" t="n">
        <v>798</v>
      </c>
      <c r="O3" t="n">
        <v>0.877</v>
      </c>
      <c r="P3" t="n">
        <v>24.6</v>
      </c>
      <c r="R3" t="n">
        <v>118800</v>
      </c>
      <c r="S3" t="n">
        <v>24.44</v>
      </c>
      <c r="T3" t="n">
        <v>24.6</v>
      </c>
      <c r="U3" t="n">
        <v>24.76</v>
      </c>
    </row>
    <row r="4">
      <c r="N4" t="n">
        <v>808</v>
      </c>
      <c r="O4" t="n">
        <v>0.923</v>
      </c>
      <c r="P4" t="n">
        <v>26</v>
      </c>
      <c r="R4" t="n">
        <v>120900</v>
      </c>
      <c r="S4" t="n">
        <v>25.84</v>
      </c>
      <c r="T4" t="n">
        <v>26</v>
      </c>
      <c r="U4" t="n">
        <v>26.16</v>
      </c>
    </row>
    <row r="5">
      <c r="N5" t="n">
        <v>813</v>
      </c>
      <c r="O5" t="n">
        <v>0.924</v>
      </c>
      <c r="P5" t="n">
        <v>26</v>
      </c>
      <c r="R5" t="n">
        <v>122000</v>
      </c>
      <c r="S5" t="n">
        <v>25.84</v>
      </c>
      <c r="T5" t="n">
        <v>26</v>
      </c>
      <c r="U5" t="n">
        <v>26.16</v>
      </c>
    </row>
    <row r="6">
      <c r="N6" t="n">
        <v>828</v>
      </c>
      <c r="O6" t="n">
        <v>0.949</v>
      </c>
      <c r="P6" t="n">
        <v>26.8</v>
      </c>
      <c r="R6" t="n">
        <v>124900</v>
      </c>
      <c r="S6" t="n">
        <v>26.64</v>
      </c>
      <c r="T6" t="n">
        <v>26.8</v>
      </c>
      <c r="U6" t="n">
        <v>26.96</v>
      </c>
    </row>
    <row r="7">
      <c r="N7" t="n">
        <v>838</v>
      </c>
      <c r="O7" t="n">
        <v>0.955</v>
      </c>
      <c r="P7" t="n">
        <v>26.9</v>
      </c>
      <c r="R7" t="n">
        <v>126900</v>
      </c>
      <c r="S7" t="n">
        <v>26.74</v>
      </c>
      <c r="T7" t="n">
        <v>26.9</v>
      </c>
      <c r="U7" t="n">
        <v>27.06</v>
      </c>
    </row>
    <row r="8">
      <c r="N8" t="n">
        <v>843</v>
      </c>
      <c r="O8" t="n">
        <v>0.9399999999999999</v>
      </c>
      <c r="P8" t="n">
        <v>26.5</v>
      </c>
      <c r="R8" t="n">
        <v>127800</v>
      </c>
      <c r="S8" t="n">
        <v>26.34</v>
      </c>
      <c r="T8" t="n">
        <v>26.5</v>
      </c>
      <c r="U8" t="n">
        <v>26.66</v>
      </c>
    </row>
    <row r="9">
      <c r="N9" t="n">
        <v>858</v>
      </c>
      <c r="O9" t="n">
        <v>0.891</v>
      </c>
      <c r="P9" t="n">
        <v>25.1</v>
      </c>
      <c r="R9" t="n">
        <v>130700</v>
      </c>
      <c r="S9" t="n">
        <v>24.94</v>
      </c>
      <c r="T9" t="n">
        <v>25.1</v>
      </c>
      <c r="U9" t="n">
        <v>25.26</v>
      </c>
    </row>
    <row r="10">
      <c r="N10" t="n">
        <v>868</v>
      </c>
      <c r="O10" t="n">
        <v>0.871</v>
      </c>
      <c r="P10" t="n">
        <v>24.5</v>
      </c>
      <c r="R10" t="n">
        <v>132700</v>
      </c>
      <c r="S10" t="n">
        <v>24.34</v>
      </c>
      <c r="T10" t="n">
        <v>24.5</v>
      </c>
      <c r="U10" t="n">
        <v>24.66</v>
      </c>
    </row>
    <row r="11">
      <c r="N11" t="n">
        <v>878</v>
      </c>
      <c r="O11" t="n">
        <v>0.87</v>
      </c>
      <c r="P11" t="n">
        <v>24.4</v>
      </c>
      <c r="R11" t="n">
        <v>134600</v>
      </c>
      <c r="S11" t="n">
        <v>24.24</v>
      </c>
      <c r="T11" t="n">
        <v>24.4</v>
      </c>
      <c r="U11" t="n">
        <v>24.56</v>
      </c>
    </row>
    <row r="12">
      <c r="N12" t="n">
        <v>883</v>
      </c>
      <c r="O12" t="n">
        <v>0.855</v>
      </c>
      <c r="P12" t="n">
        <v>24</v>
      </c>
      <c r="R12" t="n">
        <v>135500</v>
      </c>
      <c r="S12" t="n">
        <v>23.84</v>
      </c>
      <c r="T12" t="n">
        <v>24</v>
      </c>
      <c r="U12" t="n">
        <v>24.16</v>
      </c>
    </row>
    <row r="13">
      <c r="N13" t="n">
        <v>898</v>
      </c>
      <c r="O13" t="n">
        <v>0.862</v>
      </c>
      <c r="P13" t="n">
        <v>24.2</v>
      </c>
      <c r="R13" t="n">
        <v>138100</v>
      </c>
      <c r="S13" t="n">
        <v>24.04</v>
      </c>
      <c r="T13" t="n">
        <v>24.2</v>
      </c>
      <c r="U13" t="n">
        <v>24.36</v>
      </c>
    </row>
    <row r="14">
      <c r="N14" t="n">
        <v>908</v>
      </c>
      <c r="O14" t="n">
        <v>0.87</v>
      </c>
      <c r="P14" t="n">
        <v>24.4</v>
      </c>
      <c r="R14" t="n">
        <v>139800</v>
      </c>
      <c r="S14" t="n">
        <v>24.24</v>
      </c>
      <c r="T14" t="n">
        <v>24.4</v>
      </c>
      <c r="U14" t="n">
        <v>24.56</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Z14"/>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GeoB10163</t>
        </is>
      </c>
      <c r="B2" t="n">
        <v>11.68</v>
      </c>
      <c r="C2" t="n">
        <v>-11.77</v>
      </c>
      <c r="D2" t="inlineStr">
        <is>
          <t>UK37</t>
        </is>
      </c>
      <c r="N2" t="n">
        <v>588</v>
      </c>
      <c r="O2" t="n">
        <v>0.884</v>
      </c>
      <c r="P2" t="n">
        <v>24.9</v>
      </c>
      <c r="R2" t="n">
        <v>116400</v>
      </c>
      <c r="S2" t="n">
        <v>24.74</v>
      </c>
      <c r="T2" t="n">
        <v>24.9</v>
      </c>
      <c r="U2" t="n">
        <v>25.06</v>
      </c>
      <c r="V2" t="inlineStr">
        <is>
          <t>Schneider, R.R., P.J. Mueller, and G. Ruhland. 1995. Late Quaternary surface circulation in the east-equatorial South Atlantic: evidence from alkenone sea surface temperatures. Paleoceanography, 10(2), 197-219. doi: 10.1029/94PA03308</t>
        </is>
      </c>
      <c r="W2" t="inlineStr">
        <is>
          <t>https://www.ncei.noaa.gov/pub/data/paleo/paleocean/sediment_files/complete/gb10163-tab.txt</t>
        </is>
      </c>
      <c r="X2" t="inlineStr"/>
      <c r="Y2" t="inlineStr">
        <is>
          <t>(U-k-37, after Brassell et al, 1986) with the temperature calibration of PRAHL, et al.(1988):SST=(Uk37-0.039)/0.034. SST and Uk37 data meas. on 7/15/93. | Variables: depth         Depth (cm) yrBP          radiocarbon years B.P. (Libby half-life; B.P. = 1950) d18Og.bull250-350           delta O18 PDB (Globigerina bulloides 250-350 micron) d18Og.rub250-350            delta O18 PDB (Globigerinoides ruber 250-350 micron) sst           Sea Surface Temperature (C)</t>
        </is>
      </c>
      <c r="Z2" t="n">
        <v>-3411</v>
      </c>
    </row>
    <row r="3">
      <c r="N3" t="n">
        <v>593</v>
      </c>
      <c r="O3" t="n">
        <v>0.889</v>
      </c>
      <c r="P3" t="n">
        <v>25</v>
      </c>
      <c r="R3" t="n">
        <v>118300</v>
      </c>
      <c r="S3" t="n">
        <v>24.84</v>
      </c>
      <c r="T3" t="n">
        <v>25</v>
      </c>
      <c r="U3" t="n">
        <v>25.16</v>
      </c>
    </row>
    <row r="4">
      <c r="N4" t="n">
        <v>598</v>
      </c>
      <c r="O4" t="n">
        <v>0.904</v>
      </c>
      <c r="P4" t="n">
        <v>25.4</v>
      </c>
      <c r="R4" t="n">
        <v>120100</v>
      </c>
      <c r="S4" t="n">
        <v>25.24</v>
      </c>
      <c r="T4" t="n">
        <v>25.4</v>
      </c>
      <c r="U4" t="n">
        <v>25.56</v>
      </c>
    </row>
    <row r="5">
      <c r="N5" t="n">
        <v>603</v>
      </c>
      <c r="O5" t="n">
        <v>0.9330000000000001</v>
      </c>
      <c r="P5" t="n">
        <v>26.3</v>
      </c>
      <c r="R5" t="n">
        <v>122000</v>
      </c>
      <c r="S5" t="n">
        <v>26.14</v>
      </c>
      <c r="T5" t="n">
        <v>26.3</v>
      </c>
      <c r="U5" t="n">
        <v>26.46</v>
      </c>
    </row>
    <row r="6">
      <c r="N6" t="n">
        <v>608</v>
      </c>
      <c r="O6" t="n">
        <v>0.923</v>
      </c>
      <c r="P6" t="n">
        <v>26</v>
      </c>
      <c r="R6" t="n">
        <v>123800</v>
      </c>
      <c r="S6" t="n">
        <v>25.84</v>
      </c>
      <c r="T6" t="n">
        <v>26</v>
      </c>
      <c r="U6" t="n">
        <v>26.16</v>
      </c>
    </row>
    <row r="7">
      <c r="N7" t="n">
        <v>613</v>
      </c>
      <c r="O7" t="n">
        <v>0.9399999999999999</v>
      </c>
      <c r="P7" t="n">
        <v>26.5</v>
      </c>
      <c r="R7" t="n">
        <v>125500</v>
      </c>
      <c r="S7" t="n">
        <v>26.34</v>
      </c>
      <c r="T7" t="n">
        <v>26.5</v>
      </c>
      <c r="U7" t="n">
        <v>26.66</v>
      </c>
    </row>
    <row r="8">
      <c r="N8" t="n">
        <v>618</v>
      </c>
      <c r="O8" t="n">
        <v>0.931</v>
      </c>
      <c r="P8" t="n">
        <v>26.2</v>
      </c>
      <c r="R8" t="n">
        <v>127300</v>
      </c>
      <c r="S8" t="n">
        <v>26.04</v>
      </c>
      <c r="T8" t="n">
        <v>26.2</v>
      </c>
      <c r="U8" t="n">
        <v>26.36</v>
      </c>
    </row>
    <row r="9">
      <c r="N9" t="n">
        <v>623</v>
      </c>
      <c r="O9" t="n">
        <v>0.908</v>
      </c>
      <c r="P9" t="n">
        <v>25.6</v>
      </c>
      <c r="R9" t="n">
        <v>129000</v>
      </c>
      <c r="S9" t="n">
        <v>25.44</v>
      </c>
      <c r="T9" t="n">
        <v>25.6</v>
      </c>
      <c r="U9" t="n">
        <v>25.76</v>
      </c>
    </row>
    <row r="10">
      <c r="N10" t="n">
        <v>628</v>
      </c>
      <c r="O10" t="n">
        <v>0.88</v>
      </c>
      <c r="P10" t="n">
        <v>24.7</v>
      </c>
      <c r="R10" t="n">
        <v>130800</v>
      </c>
      <c r="S10" t="n">
        <v>24.54</v>
      </c>
      <c r="T10" t="n">
        <v>24.7</v>
      </c>
      <c r="U10" t="n">
        <v>24.86</v>
      </c>
    </row>
    <row r="11">
      <c r="N11" t="n">
        <v>633</v>
      </c>
      <c r="O11" t="n">
        <v>0.857</v>
      </c>
      <c r="P11" t="n">
        <v>24.1</v>
      </c>
      <c r="R11" t="n">
        <v>132500</v>
      </c>
      <c r="S11" t="n">
        <v>23.94</v>
      </c>
      <c r="T11" t="n">
        <v>24.1</v>
      </c>
      <c r="U11" t="n">
        <v>24.26</v>
      </c>
    </row>
    <row r="12">
      <c r="N12" t="n">
        <v>638</v>
      </c>
      <c r="O12" t="n">
        <v>0.861</v>
      </c>
      <c r="P12" t="n">
        <v>24.2</v>
      </c>
      <c r="R12" t="n">
        <v>134300</v>
      </c>
      <c r="S12" t="n">
        <v>24.04</v>
      </c>
      <c r="T12" t="n">
        <v>24.2</v>
      </c>
      <c r="U12" t="n">
        <v>24.36</v>
      </c>
    </row>
    <row r="13">
      <c r="N13" t="n">
        <v>643</v>
      </c>
      <c r="O13" t="n">
        <v>0.852</v>
      </c>
      <c r="P13" t="n">
        <v>23.9</v>
      </c>
      <c r="R13" t="n">
        <v>135700</v>
      </c>
      <c r="S13" t="n">
        <v>23.74</v>
      </c>
      <c r="T13" t="n">
        <v>23.9</v>
      </c>
      <c r="U13" t="n">
        <v>24.06</v>
      </c>
    </row>
    <row r="14">
      <c r="N14" t="n">
        <v>653</v>
      </c>
      <c r="O14" t="n">
        <v>0.846</v>
      </c>
      <c r="P14" t="n">
        <v>23.7</v>
      </c>
      <c r="R14" t="n">
        <v>138100</v>
      </c>
      <c r="S14" t="n">
        <v>23.54</v>
      </c>
      <c r="T14" t="n">
        <v>23.7</v>
      </c>
      <c r="U14" t="n">
        <v>23.86</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Z20"/>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GeoB10285</t>
        </is>
      </c>
      <c r="B2" t="n">
        <v>9.18</v>
      </c>
      <c r="C2" t="n">
        <v>-20.1</v>
      </c>
      <c r="D2" t="inlineStr">
        <is>
          <t>UK37</t>
        </is>
      </c>
      <c r="N2" t="n">
        <v>368</v>
      </c>
      <c r="O2" t="n">
        <v>0.747</v>
      </c>
      <c r="P2" t="n">
        <v>20.8</v>
      </c>
      <c r="R2" t="n">
        <v>115100</v>
      </c>
      <c r="S2" t="n">
        <v>20.64</v>
      </c>
      <c r="T2" t="n">
        <v>20.8</v>
      </c>
      <c r="U2" t="n">
        <v>20.96</v>
      </c>
      <c r="V2" t="inlineStr">
        <is>
          <t>Schneider, R.R., P.J. Mueller, and G. Ruhland. 1995. Late Quaternary surface circulation in the east-equatorial South Atlantic: evidence from alkenone sea surface temperatures. Paleoceanography, 10(2), 197-219. doi: 10.1029/94PA03308</t>
        </is>
      </c>
      <c r="W2" t="inlineStr">
        <is>
          <t>https://www.ncei.noaa.gov/pub/data/paleo/paleocean/sediment_files/complete/gb10285-tab.txt</t>
        </is>
      </c>
      <c r="X2" t="inlineStr"/>
      <c r="Y2" t="inlineStr">
        <is>
          <t>(U-k-37, after Brassell et al, 1986) with the temperature calibration of PRAHL, et al.(1988):SST=(Uk37-0.039)/0.034). SST &amp; UK37 data measured 7/15/93. | Variables: depth         Depth (cm) yrBP          radiocarbon years B.P. (Libby half-life; B.P. = 1950) d18Og.bull250-350           delta O18 PDB (Globigerina bulloides 250-350 micron) d18Og.rub250-350            delta O18 PDB (Globigerinoides ruber 250-350 micron) sst           Sea Surface Temperature (C)</t>
        </is>
      </c>
      <c r="Z2" t="n">
        <v>-2209</v>
      </c>
    </row>
    <row r="3">
      <c r="N3" t="n">
        <v>373</v>
      </c>
      <c r="O3" t="n">
        <v>0.755</v>
      </c>
      <c r="P3" t="n">
        <v>21.1</v>
      </c>
      <c r="R3" t="n">
        <v>116200</v>
      </c>
      <c r="S3" t="n">
        <v>20.94</v>
      </c>
      <c r="T3" t="n">
        <v>21.1</v>
      </c>
      <c r="U3" t="n">
        <v>21.26</v>
      </c>
    </row>
    <row r="4">
      <c r="N4" t="n">
        <v>378</v>
      </c>
      <c r="O4" t="n">
        <v>0.772</v>
      </c>
      <c r="P4" t="n">
        <v>21.6</v>
      </c>
      <c r="R4" t="n">
        <v>117400</v>
      </c>
      <c r="S4" t="n">
        <v>21.44</v>
      </c>
      <c r="T4" t="n">
        <v>21.6</v>
      </c>
      <c r="U4" t="n">
        <v>21.76</v>
      </c>
    </row>
    <row r="5">
      <c r="N5" t="n">
        <v>383</v>
      </c>
      <c r="O5" t="n">
        <v>0.787</v>
      </c>
      <c r="P5" t="n">
        <v>22</v>
      </c>
      <c r="R5" t="n">
        <v>118500</v>
      </c>
      <c r="S5" t="n">
        <v>21.84</v>
      </c>
      <c r="T5" t="n">
        <v>22</v>
      </c>
      <c r="U5" t="n">
        <v>22.16</v>
      </c>
    </row>
    <row r="6">
      <c r="N6" t="n">
        <v>388</v>
      </c>
      <c r="O6" t="n">
        <v>0.8080000000000001</v>
      </c>
      <c r="P6" t="n">
        <v>22.6</v>
      </c>
      <c r="R6" t="n">
        <v>119700</v>
      </c>
      <c r="S6" t="n">
        <v>22.44</v>
      </c>
      <c r="T6" t="n">
        <v>22.6</v>
      </c>
      <c r="U6" t="n">
        <v>22.76</v>
      </c>
    </row>
    <row r="7">
      <c r="N7" t="n">
        <v>393</v>
      </c>
      <c r="O7" t="n">
        <v>0.82</v>
      </c>
      <c r="P7" t="n">
        <v>23</v>
      </c>
      <c r="R7" t="n">
        <v>120900</v>
      </c>
      <c r="S7" t="n">
        <v>22.84</v>
      </c>
      <c r="T7" t="n">
        <v>23</v>
      </c>
      <c r="U7" t="n">
        <v>23.16</v>
      </c>
    </row>
    <row r="8">
      <c r="N8" t="n">
        <v>398</v>
      </c>
      <c r="O8" t="n">
        <v>0.804</v>
      </c>
      <c r="P8" t="n">
        <v>22.5</v>
      </c>
      <c r="R8" t="n">
        <v>122000</v>
      </c>
      <c r="S8" t="n">
        <v>22.34</v>
      </c>
      <c r="T8" t="n">
        <v>22.5</v>
      </c>
      <c r="U8" t="n">
        <v>22.66</v>
      </c>
    </row>
    <row r="9">
      <c r="N9" t="n">
        <v>403</v>
      </c>
      <c r="O9" t="n">
        <v>0.83</v>
      </c>
      <c r="P9" t="n">
        <v>23.3</v>
      </c>
      <c r="R9" t="n">
        <v>123200</v>
      </c>
      <c r="S9" t="n">
        <v>23.14</v>
      </c>
      <c r="T9" t="n">
        <v>23.3</v>
      </c>
      <c r="U9" t="n">
        <v>23.46</v>
      </c>
    </row>
    <row r="10">
      <c r="N10" t="n">
        <v>408</v>
      </c>
      <c r="O10" t="n">
        <v>0.8100000000000001</v>
      </c>
      <c r="P10" t="n">
        <v>22.7</v>
      </c>
      <c r="R10" t="n">
        <v>124400</v>
      </c>
      <c r="S10" t="n">
        <v>22.54</v>
      </c>
      <c r="T10" t="n">
        <v>22.7</v>
      </c>
      <c r="U10" t="n">
        <v>22.86</v>
      </c>
    </row>
    <row r="11">
      <c r="N11" t="n">
        <v>413</v>
      </c>
      <c r="O11" t="n">
        <v>0.823</v>
      </c>
      <c r="P11" t="n">
        <v>23.1</v>
      </c>
      <c r="R11" t="n">
        <v>125600</v>
      </c>
      <c r="S11" t="n">
        <v>22.94</v>
      </c>
      <c r="T11" t="n">
        <v>23.1</v>
      </c>
      <c r="U11" t="n">
        <v>23.26</v>
      </c>
    </row>
    <row r="12">
      <c r="N12" t="n">
        <v>418</v>
      </c>
      <c r="O12" t="n">
        <v>0.834</v>
      </c>
      <c r="P12" t="n">
        <v>23.4</v>
      </c>
      <c r="R12" t="n">
        <v>126700</v>
      </c>
      <c r="S12" t="n">
        <v>23.24</v>
      </c>
      <c r="T12" t="n">
        <v>23.4</v>
      </c>
      <c r="U12" t="n">
        <v>23.56</v>
      </c>
    </row>
    <row r="13">
      <c r="N13" t="n">
        <v>423</v>
      </c>
      <c r="O13" t="n">
        <v>0.8179999999999999</v>
      </c>
      <c r="P13" t="n">
        <v>22.9</v>
      </c>
      <c r="R13" t="n">
        <v>127900</v>
      </c>
      <c r="S13" t="n">
        <v>22.74</v>
      </c>
      <c r="T13" t="n">
        <v>22.9</v>
      </c>
      <c r="U13" t="n">
        <v>23.06</v>
      </c>
    </row>
    <row r="14">
      <c r="N14" t="n">
        <v>428</v>
      </c>
      <c r="O14" t="n">
        <v>0.824</v>
      </c>
      <c r="P14" t="n">
        <v>23.1</v>
      </c>
      <c r="R14" t="n">
        <v>129100</v>
      </c>
      <c r="S14" t="n">
        <v>22.94</v>
      </c>
      <c r="T14" t="n">
        <v>23.1</v>
      </c>
      <c r="U14" t="n">
        <v>23.26</v>
      </c>
    </row>
    <row r="15">
      <c r="N15" t="n">
        <v>433</v>
      </c>
      <c r="O15" t="n">
        <v>0.775</v>
      </c>
      <c r="P15" t="n">
        <v>21.6</v>
      </c>
      <c r="R15" t="n">
        <v>130300</v>
      </c>
      <c r="S15" t="n">
        <v>21.44</v>
      </c>
      <c r="T15" t="n">
        <v>21.6</v>
      </c>
      <c r="U15" t="n">
        <v>21.76</v>
      </c>
    </row>
    <row r="16">
      <c r="N16" t="n">
        <v>438</v>
      </c>
      <c r="O16" t="n">
        <v>0.768</v>
      </c>
      <c r="P16" t="n">
        <v>21.4</v>
      </c>
      <c r="R16" t="n">
        <v>131500</v>
      </c>
      <c r="S16" t="n">
        <v>21.24</v>
      </c>
      <c r="T16" t="n">
        <v>21.4</v>
      </c>
      <c r="U16" t="n">
        <v>21.56</v>
      </c>
    </row>
    <row r="17">
      <c r="N17" t="n">
        <v>443</v>
      </c>
      <c r="O17" t="n">
        <v>0.711</v>
      </c>
      <c r="P17" t="n">
        <v>19.8</v>
      </c>
      <c r="R17" t="n">
        <v>132600</v>
      </c>
      <c r="S17" t="n">
        <v>19.64</v>
      </c>
      <c r="T17" t="n">
        <v>19.8</v>
      </c>
      <c r="U17" t="n">
        <v>19.96</v>
      </c>
    </row>
    <row r="18">
      <c r="N18" t="n">
        <v>448</v>
      </c>
      <c r="O18" t="n">
        <v>0.6830000000000001</v>
      </c>
      <c r="P18" t="n">
        <v>18.9</v>
      </c>
      <c r="R18" t="n">
        <v>133800</v>
      </c>
      <c r="S18" t="n">
        <v>18.74</v>
      </c>
      <c r="T18" t="n">
        <v>18.9</v>
      </c>
      <c r="U18" t="n">
        <v>19.06</v>
      </c>
    </row>
    <row r="19">
      <c r="N19" t="n">
        <v>453</v>
      </c>
      <c r="O19" t="n">
        <v>0.676</v>
      </c>
      <c r="P19" t="n">
        <v>18.7</v>
      </c>
      <c r="R19" t="n">
        <v>135000</v>
      </c>
      <c r="S19" t="n">
        <v>18.54</v>
      </c>
      <c r="T19" t="n">
        <v>18.7</v>
      </c>
      <c r="U19" t="n">
        <v>18.86</v>
      </c>
    </row>
    <row r="20">
      <c r="N20" t="n">
        <v>458</v>
      </c>
      <c r="O20" t="n">
        <v>0.676</v>
      </c>
      <c r="P20" t="n">
        <v>18.7</v>
      </c>
      <c r="R20" t="n">
        <v>139000</v>
      </c>
      <c r="S20" t="n">
        <v>18.54</v>
      </c>
      <c r="T20" t="n">
        <v>18.7</v>
      </c>
      <c r="U20" t="n">
        <v>18.86</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PS1778-5</t>
        </is>
      </c>
      <c r="B2" t="n">
        <v>-12.7</v>
      </c>
      <c r="C2" t="n">
        <v>-49.02</v>
      </c>
      <c r="D2" t="inlineStr"/>
      <c r="N2" t="n">
        <v>920</v>
      </c>
      <c r="P2" t="n">
        <v>6.84</v>
      </c>
      <c r="R2" t="n">
        <v>124100</v>
      </c>
      <c r="T2" t="n">
        <v>6.84</v>
      </c>
      <c r="V2" t="inlineStr">
        <is>
          <t>Brathauer, U., and A. Abelmann. 1999. Late Quaternary variations in sea surface temperatures and their relationship to orbital forcing recorded in the Southern Ocean (Atlantic sector). Paleoceanography, 14(2), 135-148. doi: 10.1029/1998PA900020</t>
        </is>
      </c>
      <c r="W2" t="inlineStr">
        <is>
          <t>https://www.ncei.noaa.gov/pub/data/paleo/paleocean/sediment_files/complete/ps1778-5-tab.txt</t>
        </is>
      </c>
      <c r="X2" t="inlineStr"/>
      <c r="Y2" t="inlineStr">
        <is>
          <t>Variables: depth         Depth (cm) yrBP          radiocarbon years B.P. (Libby half-life; B.P. = 1950) sst-aug       Sea Surface Temperature (C, August)</t>
        </is>
      </c>
      <c r="Z2" t="n">
        <v>-3380</v>
      </c>
    </row>
    <row r="3">
      <c r="N3" t="n">
        <v>1040</v>
      </c>
      <c r="P3" t="n">
        <v>1.08</v>
      </c>
      <c r="R3" t="n">
        <v>138410</v>
      </c>
      <c r="T3" t="n">
        <v>1.08</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RS147-GC14</t>
        </is>
      </c>
      <c r="B2" t="n">
        <v>145.23</v>
      </c>
      <c r="C2" t="n">
        <v>-46.43</v>
      </c>
      <c r="D2" t="inlineStr">
        <is>
          <t>UK37</t>
        </is>
      </c>
      <c r="N2" t="n">
        <v>158.5</v>
      </c>
      <c r="O2" t="n">
        <v>0.554</v>
      </c>
      <c r="P2" t="n">
        <v>17.2</v>
      </c>
      <c r="R2" t="n">
        <v>116463</v>
      </c>
      <c r="T2" t="n">
        <v>17.2</v>
      </c>
      <c r="V2" t="inlineStr">
        <is>
          <t>Lisiecki, L.E. and M.E. Raymo. 2005. A Pliocene-Pleistocene stack of 57 globally distributed benthic δ18O records. Paleoceanography, 20(1), PA1003. doi: 10.1029/2004PA001071</t>
        </is>
      </c>
      <c r="W2" t="inlineStr">
        <is>
          <t>https://www.ncei.noaa.gov/pub/data/paleo/paleocean/sediment_files/complete/147-gc14-tab.txt</t>
        </is>
      </c>
      <c r="X2" t="inlineStr">
        <is>
          <t>and Griffin, 1999] and a polynomial fit [Bard et al., 1998]. MIS3-5 d18O tuned to Lieseki and Raymo 2005 / Marinson et al 1987. In GC07 the SST-MAT warm season errors range from 2.0�-4.0�C for warm-season estimates, larger than the 1�-1.5�C generally associated with modern analog estimates, in the deglaciation [Samson, 1998]. This is ascribed to the fact that GC07 lies in a zone of frontal movement where SST changes rapidly over small distances. SSTs from Uk'37 have an error</t>
        </is>
      </c>
      <c r="Y2" t="inlineStr">
        <is>
          <t>Variables: depth         Depth (cm) calyrBP       calendar years B.P. (B.P. = 1950) carb%         Calcium Carbonate percent d18Ocibid&gt;150 delta O18 per mil PDB (Cibicidoides spp. &gt;150 micron) sst-warm.uk37.s             sea surface temperature, warm season, from Uk'37, degC, (Sikes and Volkman '93 equation)</t>
        </is>
      </c>
      <c r="Z2" t="n">
        <v>-3360</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E45-29</t>
        </is>
      </c>
      <c r="B2" t="n">
        <v>106.52</v>
      </c>
      <c r="C2" t="n">
        <v>-44.88</v>
      </c>
      <c r="D2" t="inlineStr">
        <is>
          <t>Radiolaria</t>
        </is>
      </c>
      <c r="M2" t="n">
        <v>2.5</v>
      </c>
      <c r="N2" t="n">
        <v>249</v>
      </c>
      <c r="O2" t="n">
        <v>13</v>
      </c>
      <c r="P2" t="n">
        <v>7.35</v>
      </c>
      <c r="R2" t="n">
        <v>122000</v>
      </c>
      <c r="S2" t="n">
        <v>4.75</v>
      </c>
      <c r="T2" t="n">
        <v>7.35</v>
      </c>
      <c r="U2" t="n">
        <v>9.949999999999999</v>
      </c>
      <c r="V2" t="inlineStr">
        <is>
          <t>Howard, W.R., and W.L. Prell. 1994. Late Quaternary carbonate production and preservation in the Southern Ocean: implications for oceanic and atmospheric carbon cycling. Paleoceanography, 9(3), 453-482. doi: 10.1029/93PA03524</t>
        </is>
      </c>
      <c r="W2" t="inlineStr">
        <is>
          <t>https://www.ncei.noaa.gov/pub/data/paleo/paleocean/sediment_files/complete/e45-29-tab.txt</t>
        </is>
      </c>
      <c r="X2" t="inlineStr"/>
      <c r="Y2" t="inlineStr">
        <is>
          <t>Variables: depth         Depth (cm) yrBP          radiocarbon years B.P. (Libby half-life; B.P. = 1950) d13C          delta C13 PDB d18O          delta O18 PDB carb%         Calcium Carbonate percent</t>
        </is>
      </c>
      <c r="Z2" t="n">
        <v>-3863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E49-17</t>
        </is>
      </c>
      <c r="B2" t="n">
        <v>90.25</v>
      </c>
      <c r="C2" t="n">
        <v>-48.28</v>
      </c>
      <c r="D2" t="inlineStr">
        <is>
          <t>Radiolaria</t>
        </is>
      </c>
      <c r="M2" t="n">
        <v>3.1</v>
      </c>
      <c r="N2" t="n">
        <v>427</v>
      </c>
      <c r="O2" t="n">
        <v>30</v>
      </c>
      <c r="P2" t="n">
        <v>3.81</v>
      </c>
      <c r="R2" t="n">
        <v>128000</v>
      </c>
      <c r="S2" t="n">
        <v>1.01</v>
      </c>
      <c r="T2" t="n">
        <v>3.81</v>
      </c>
      <c r="U2" t="n">
        <v>6.609999999999999</v>
      </c>
      <c r="V2" t="inlineStr">
        <is>
          <t>Howard, W.R., and W.L. Prell. 1994. Late Quaternary carbonate production and preservation in the Southern Ocean: implications for oceanic and atmospheric carbon cycling. Paleoceanography, 9(3), 453-482. doi: 10.1029/93PA03524</t>
        </is>
      </c>
      <c r="W2" t="inlineStr">
        <is>
          <t>https://www.ncei.noaa.gov/pub/data/paleo/paleocean/sediment_files/complete/e49-17-tab.txt</t>
        </is>
      </c>
      <c r="X2" t="inlineStr"/>
      <c r="Y2" t="inlineStr">
        <is>
          <t>Variables: depth         Depth (cm) yrBP          radiocarbon years B.P. (Libby half-life; B.P. = 1950) carb%         Calcium Carbonate percent cfrac%&gt;150    Coarse fraction percent (&gt;150 micron) d13C          delta C13 PDB</t>
        </is>
      </c>
      <c r="Z2" t="n">
        <v>-3542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E49-18</t>
        </is>
      </c>
      <c r="B2" t="n">
        <v>90.17</v>
      </c>
      <c r="C2" t="n">
        <v>-46.05</v>
      </c>
      <c r="D2" t="inlineStr">
        <is>
          <t>Radiolaria</t>
        </is>
      </c>
      <c r="M2" t="n">
        <v>1.6</v>
      </c>
      <c r="N2" t="n">
        <v>480</v>
      </c>
      <c r="O2" t="n">
        <v>2</v>
      </c>
      <c r="P2" t="n">
        <v>6.94</v>
      </c>
      <c r="R2" t="n">
        <v>122000</v>
      </c>
      <c r="S2" t="n">
        <v>3.54</v>
      </c>
      <c r="T2" t="n">
        <v>6.94</v>
      </c>
      <c r="U2" t="n">
        <v>10.34</v>
      </c>
      <c r="V2" t="inlineStr">
        <is>
          <t>Howard, W.R., and W.L. Prell. 1994. Late Quaternary carbonate production and preservation in the Southern Ocean: implications for oceanic and atmospheric carbon cycling. Paleoceanography, 9(3), 453-482. doi: 10.1029/93PA03524</t>
        </is>
      </c>
      <c r="W2" t="inlineStr">
        <is>
          <t>https://www.ncei.noaa.gov/pub/data/paleo/paleocean/sediment_files/complete/e49-18-tab.txt</t>
        </is>
      </c>
      <c r="X2" t="inlineStr"/>
      <c r="Y2" t="inlineStr">
        <is>
          <t>Variables: depth         Depth (cm) yrBP          radiocarbon years B.P. (Libby half-life; B.P. = 1950) d13C          delta C13 PDB d18O          delta O18 PDB Dsqchord      Squared-chord distance</t>
        </is>
      </c>
      <c r="Z2" t="n">
        <v>-3291</v>
      </c>
    </row>
    <row r="3">
      <c r="M3" t="n">
        <v>3.33</v>
      </c>
      <c r="N3" t="n">
        <v>510</v>
      </c>
      <c r="O3" t="n">
        <v>296</v>
      </c>
      <c r="P3" t="n">
        <v>3.83</v>
      </c>
      <c r="R3" t="n">
        <v>135000</v>
      </c>
      <c r="S3" t="n">
        <v>1.03</v>
      </c>
      <c r="T3" t="n">
        <v>3.83</v>
      </c>
      <c r="U3" t="n">
        <v>6.63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E49-21</t>
        </is>
      </c>
      <c r="B2" t="n">
        <v>94.88</v>
      </c>
      <c r="C2" t="n">
        <v>-42.18</v>
      </c>
      <c r="D2" t="inlineStr">
        <is>
          <t>Radiolaria</t>
        </is>
      </c>
      <c r="M2" t="n">
        <v>2.98</v>
      </c>
      <c r="N2" t="n">
        <v>199</v>
      </c>
      <c r="O2" t="n">
        <v>0</v>
      </c>
      <c r="P2" t="n">
        <v>10.96</v>
      </c>
      <c r="R2" t="n">
        <v>122000</v>
      </c>
      <c r="S2" t="n">
        <v>5.760000000000001</v>
      </c>
      <c r="T2" t="n">
        <v>10.96</v>
      </c>
      <c r="U2" t="n">
        <v>16.16</v>
      </c>
      <c r="V2" t="inlineStr">
        <is>
          <t>Howard, W.R., and W.L. Prell. 1994. Late Quaternary carbonate production and preservation in the Southern Ocean: implications for oceanic and atmospheric carbon cycling. Paleoceanography, 9(3), 453-482. doi: 10.1029/93PA03524</t>
        </is>
      </c>
      <c r="W2" t="inlineStr">
        <is>
          <t>https://www.ncei.noaa.gov/pub/data/paleo/paleocean/sediment_files/complete/e49-21-tab.txt</t>
        </is>
      </c>
      <c r="X2" t="inlineStr"/>
      <c r="Y2" t="inlineStr">
        <is>
          <t>Variables: depth         Depth (cm) yrBP          radiocarbon years B.P. (Libby half-life; B.P. = 1950) carb%         Calcium Carbonate percent cfrac%&gt;150    Coarse fraction percent (&gt;150 micron) d13C          delta C13 PDB</t>
        </is>
      </c>
      <c r="Z2" t="n">
        <v>-3328</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RC12-225</t>
        </is>
      </c>
      <c r="B2" t="n">
        <v>-123.12</v>
      </c>
      <c r="C2" t="n">
        <v>-53.67</v>
      </c>
      <c r="D2" t="inlineStr">
        <is>
          <t>MgCa</t>
        </is>
      </c>
      <c r="N2" t="n">
        <v>130</v>
      </c>
      <c r="P2" t="n">
        <v>3.105</v>
      </c>
      <c r="R2" t="n">
        <v>115000</v>
      </c>
      <c r="T2" t="n">
        <v>3.105</v>
      </c>
      <c r="V2" t="inlineStr">
        <is>
          <t>Rickaby, R.E.M., and H. Elderfield. 1999. Planktonic foraminiferal Cd/Ca: Paleonutrients or paleotemperature?. Paleoceanography, 14(3), 293-303. doi: 10.1029/1999PA900007</t>
        </is>
      </c>
      <c r="W2" t="inlineStr">
        <is>
          <t>https://www.ncei.noaa.gov/pub/data/paleo/paleocean/sediment_files/complete/r12-225r-tab.txt</t>
        </is>
      </c>
      <c r="X2" t="inlineStr"/>
      <c r="Y2" t="inlineStr">
        <is>
          <t>Variables: depth         Depth (cm) yrBP          radiocarbon years B.P. (Libby half-life; B.P. = 1950) d18O          delta O18 PDB temp          Temperature (C) Cd/Ca         Cadmium/Calcium ratio</t>
        </is>
      </c>
      <c r="Z2" t="n">
        <v>-2964</v>
      </c>
    </row>
    <row r="3">
      <c r="N3" t="n">
        <v>140</v>
      </c>
      <c r="P3" t="n">
        <v>4.85</v>
      </c>
      <c r="R3" t="n">
        <v>119000</v>
      </c>
      <c r="T3" t="n">
        <v>4.85</v>
      </c>
    </row>
    <row r="4">
      <c r="N4" t="n">
        <v>150</v>
      </c>
      <c r="P4" t="n">
        <v>4.8</v>
      </c>
      <c r="R4" t="n">
        <v>123000</v>
      </c>
      <c r="T4" t="n">
        <v>4.8</v>
      </c>
    </row>
    <row r="5">
      <c r="N5" t="n">
        <v>160</v>
      </c>
      <c r="P5" t="n">
        <v>3.12</v>
      </c>
      <c r="R5" t="n">
        <v>128000</v>
      </c>
      <c r="T5" t="n">
        <v>3.12</v>
      </c>
    </row>
    <row r="6">
      <c r="N6" t="n">
        <v>170</v>
      </c>
      <c r="P6" t="n">
        <v>1.22</v>
      </c>
      <c r="R6" t="n">
        <v>138500</v>
      </c>
      <c r="T6" t="n">
        <v>1.22</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DSDP 593</t>
        </is>
      </c>
      <c r="B2" t="n">
        <v>167.6745</v>
      </c>
      <c r="C2" t="n">
        <v>-40.507833</v>
      </c>
      <c r="D2" t="inlineStr">
        <is>
          <t>UK37</t>
        </is>
      </c>
      <c r="M2" t="n">
        <v>2.340044</v>
      </c>
      <c r="N2" t="n">
        <v>2.07</v>
      </c>
      <c r="O2" t="n">
        <v>0.570763</v>
      </c>
      <c r="P2" t="n">
        <v>15.96253</v>
      </c>
      <c r="R2" t="n">
        <v>123000</v>
      </c>
      <c r="T2" t="n">
        <v>15.96253</v>
      </c>
      <c r="V2" t="inlineStr">
        <is>
          <t>Elmore, Aurora C., Erin L. McClymont, Henry Elderfield, Sev Kender, Michael R. Cook, Melanie J. Leng, Mervyn Greaves, and Sambuddha Misra. 2015. Antarctic Intermediate Water properties since 400 ka recorded in infaunal (Uvigerina peregrina) and epifaunal (Planulina wuellerstorfi) benthic foraminifera. Earth and Planetary Science Letters, 428, 193-203. doi: 10.1016/j.epsl.2015.07.013</t>
        </is>
      </c>
      <c r="W2" t="inlineStr">
        <is>
          <t>https://www.ncei.noaa.gov/pub/data/paleo/contributions_by_author/mcclymont2016/mcclymont2016-dsdp593.txt</t>
        </is>
      </c>
      <c r="X2" t="inlineStr">
        <is>
          <t>Notes: The age model derived from benthic d18O measurements tuned to the LR04 stack --------------------------------------- Chronology_Information | Chronology_Information | Chronology: Stratigraphic tie-points and references depth_mbsf age_Ma material_analysed tie_point | Stratigraphic tie-points and references depth_mbsf age_Ma material_analysed tie_point reference</t>
        </is>
      </c>
      <c r="Y2" t="inlineStr">
        <is>
          <t>material_analysed tie_point reference | depth_mbsf	age_Ma	material_analysed	tie_point	reference 0.31	0.0159	not stated	calibrated radiocarbon measurement (14C AMS)	Dudley &amp; Nelson [1989] 0.81	0.088	Planulina wuellerstorfi d18O	LR04	Elmore et al. [2015] 1.8	0.123	Planulina wuellerstorfi d18O	LR04	Elmore et al. [2015] 2.31	0.138	Planulina wuellerstorfi d18O	LR04	Elmore et al. [2015] 3.18	0.186	Planulina wuellerstorfi d18O	LR04	Elmore et al. [2015] | 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 depth_mbsf	depth,,,m,,,mbsf,, age_Ma	age,,,Ma,,,,, UK37	Alkenone unsaturation index,Alkenones,,,,Paleocea</t>
        </is>
      </c>
      <c r="Z2" t="n">
        <v>-1068</v>
      </c>
    </row>
    <row r="3">
      <c r="M3" t="n">
        <v>2.381098</v>
      </c>
      <c r="N3" t="n">
        <v>2.14</v>
      </c>
      <c r="O3" t="n">
        <v>0.668878</v>
      </c>
      <c r="P3" t="n">
        <v>18.93569</v>
      </c>
      <c r="R3" t="n">
        <v>125000</v>
      </c>
      <c r="T3" t="n">
        <v>18.93569</v>
      </c>
    </row>
    <row r="4">
      <c r="M4" t="n">
        <v>3.783005</v>
      </c>
      <c r="N4" t="n">
        <v>2.38</v>
      </c>
      <c r="O4" t="n">
        <v>0.560595</v>
      </c>
      <c r="P4" t="n">
        <v>15.6544</v>
      </c>
      <c r="R4" t="n">
        <v>135000</v>
      </c>
      <c r="T4" t="n">
        <v>15.6544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ODP 882</t>
        </is>
      </c>
      <c r="B2" t="n">
        <v>167.5833</v>
      </c>
      <c r="C2" t="n">
        <v>50.35</v>
      </c>
      <c r="D2" t="inlineStr">
        <is>
          <t>UK37</t>
        </is>
      </c>
      <c r="P2" t="n">
        <v>12.96</v>
      </c>
      <c r="R2" t="n">
        <v>117500</v>
      </c>
      <c r="T2" t="n">
        <v>12.96</v>
      </c>
      <c r="V2" t="inlineStr">
        <is>
          <t>Martínez-Garcia, A., A. Rosell-Melé, E.L. McClymont, R. Gersonde, and G.H. Haug. 2010. Subpolar Link to the Emergence of the Modern Equatorial Pacific Cold Tongue. Science, 328(5985), 1550-1553. doi: 10.1126/science.1184480</t>
        </is>
      </c>
      <c r="W2" t="inlineStr">
        <is>
          <t>https://www.ncei.noaa.gov/pub/data/paleo/contributions_by_author/martinez-garcia2010/martinez-garcia2010.txt</t>
        </is>
      </c>
      <c r="X2" t="inlineStr"/>
      <c r="Y2" t="inlineStr"/>
      <c r="Z2" t="n">
        <v>-3244</v>
      </c>
    </row>
    <row r="3">
      <c r="P3" t="n">
        <v>13.62</v>
      </c>
      <c r="R3" t="n">
        <v>120000</v>
      </c>
      <c r="T3" t="n">
        <v>13.62</v>
      </c>
    </row>
    <row r="4">
      <c r="P4" t="n">
        <v>15.83</v>
      </c>
      <c r="R4" t="n">
        <v>124000</v>
      </c>
      <c r="T4" t="n">
        <v>15.83</v>
      </c>
    </row>
    <row r="5">
      <c r="P5" t="n">
        <v>13.1</v>
      </c>
      <c r="R5" t="n">
        <v>126460</v>
      </c>
      <c r="T5" t="n">
        <v>13.1</v>
      </c>
    </row>
    <row r="6">
      <c r="P6" t="n">
        <v>17.14</v>
      </c>
      <c r="R6" t="n">
        <v>129900</v>
      </c>
      <c r="T6" t="n">
        <v>17.14</v>
      </c>
    </row>
    <row r="7">
      <c r="P7" t="n">
        <v>13.91</v>
      </c>
      <c r="R7" t="n">
        <v>132180</v>
      </c>
      <c r="T7" t="n">
        <v>13.91</v>
      </c>
    </row>
    <row r="8">
      <c r="P8" t="n">
        <v>9.539999999999999</v>
      </c>
      <c r="R8" t="n">
        <v>135440</v>
      </c>
      <c r="T8" t="n">
        <v>9.539999999999999</v>
      </c>
    </row>
    <row r="9">
      <c r="P9" t="n">
        <v>5.59</v>
      </c>
      <c r="R9" t="n">
        <v>138110</v>
      </c>
      <c r="T9" t="n">
        <v>5.59</v>
      </c>
    </row>
    <row r="10">
      <c r="P10" t="n">
        <v>9.52</v>
      </c>
      <c r="R10" t="n">
        <v>138550</v>
      </c>
      <c r="T10" t="n">
        <v>9.52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VM19-193</t>
        </is>
      </c>
      <c r="B2" t="n">
        <v>51.47</v>
      </c>
      <c r="C2" t="n">
        <v>2.98</v>
      </c>
      <c r="D2" t="inlineStr">
        <is>
          <t>UK37</t>
        </is>
      </c>
      <c r="N2" t="n">
        <v>461.5</v>
      </c>
      <c r="O2" t="n">
        <v>0.952</v>
      </c>
      <c r="P2" t="n">
        <v>28.69</v>
      </c>
      <c r="R2" t="n">
        <v>115730</v>
      </c>
      <c r="S2" t="n">
        <v>24.92</v>
      </c>
      <c r="T2" t="n">
        <v>28.69</v>
      </c>
      <c r="U2" t="n">
        <v>35.21</v>
      </c>
      <c r="V2" t="inlineStr">
        <is>
          <t>Windler, Grace, Tierney, Jessica E., and deMenocal, Peter B. 2023. Hydroclimate variability in the equatorial western Indian Ocean for the last 300,000 years. Paleoceanography and Paleoclimatology, 38(2), e2022PA004530. doi: 10.1029/2022PA004530</t>
        </is>
      </c>
      <c r="W2" t="inlineStr">
        <is>
          <t>https://www.ncei.noaa.gov/pub/data/paleo/contributions_by_author/windler2022/vm19-193_windler2022.txt</t>
        </is>
      </c>
      <c r="X2" t="inlineStr">
        <is>
          <t>Chronology_Information | Chronology:</t>
        </is>
      </c>
      <c r="Y2" t="inlineStr">
        <is>
          <t>Variables | Data variables follow that are preceded by "##" in columns one and two. | Variables list, one per line, shortname-tab-var components: what, material, error, units, seasonality, data type, detail, method, C or N for Character or Numeric data)</t>
        </is>
      </c>
      <c r="Z2" t="n">
        <v>-5106</v>
      </c>
    </row>
    <row r="3">
      <c r="N3" t="n">
        <v>472</v>
      </c>
      <c r="O3" t="n">
        <v>0.923</v>
      </c>
      <c r="P3" t="n">
        <v>27.11</v>
      </c>
      <c r="R3" t="n">
        <v>118340</v>
      </c>
      <c r="S3" t="n">
        <v>23.87</v>
      </c>
      <c r="T3" t="n">
        <v>27.11</v>
      </c>
      <c r="U3" t="n">
        <v>33.08</v>
      </c>
    </row>
    <row r="4">
      <c r="N4" t="n">
        <v>482.5</v>
      </c>
      <c r="O4" t="n">
        <v>0.946</v>
      </c>
      <c r="P4" t="n">
        <v>28.37</v>
      </c>
      <c r="R4" t="n">
        <v>120560</v>
      </c>
      <c r="S4" t="n">
        <v>24.7</v>
      </c>
      <c r="T4" t="n">
        <v>28.37</v>
      </c>
      <c r="U4" t="n">
        <v>34.9</v>
      </c>
    </row>
    <row r="5">
      <c r="N5" t="n">
        <v>492</v>
      </c>
      <c r="O5" t="n">
        <v>0.949</v>
      </c>
      <c r="P5" t="n">
        <v>28.5</v>
      </c>
      <c r="R5" t="n">
        <v>122380</v>
      </c>
      <c r="S5" t="n">
        <v>24.79</v>
      </c>
      <c r="T5" t="n">
        <v>28.5</v>
      </c>
      <c r="U5" t="n">
        <v>34.99</v>
      </c>
    </row>
    <row r="6">
      <c r="N6" t="n">
        <v>501</v>
      </c>
      <c r="O6" t="n">
        <v>0.9409999999999999</v>
      </c>
      <c r="P6" t="n">
        <v>28.07</v>
      </c>
      <c r="R6" t="n">
        <v>124120</v>
      </c>
      <c r="S6" t="n">
        <v>24.47</v>
      </c>
      <c r="T6" t="n">
        <v>28.07</v>
      </c>
      <c r="U6" t="n">
        <v>34.45</v>
      </c>
    </row>
    <row r="7">
      <c r="N7" t="n">
        <v>511.5</v>
      </c>
      <c r="O7" t="n">
        <v>0.961</v>
      </c>
      <c r="P7" t="n">
        <v>29.21</v>
      </c>
      <c r="R7" t="n">
        <v>126140</v>
      </c>
      <c r="S7" t="n">
        <v>25.25</v>
      </c>
      <c r="T7" t="n">
        <v>29.21</v>
      </c>
      <c r="U7" t="n">
        <v>35.92</v>
      </c>
    </row>
    <row r="8">
      <c r="N8" t="n">
        <v>523</v>
      </c>
      <c r="O8" t="n">
        <v>0.976</v>
      </c>
      <c r="P8" t="n">
        <v>30.14</v>
      </c>
      <c r="R8" t="n">
        <v>128710</v>
      </c>
      <c r="S8" t="n">
        <v>25.84</v>
      </c>
      <c r="T8" t="n">
        <v>30.14</v>
      </c>
      <c r="U8" t="n">
        <v>37.12</v>
      </c>
    </row>
    <row r="9">
      <c r="N9" t="n">
        <v>531</v>
      </c>
      <c r="O9" t="n">
        <v>0.966</v>
      </c>
      <c r="P9" t="n">
        <v>29.52</v>
      </c>
      <c r="R9" t="n">
        <v>131360</v>
      </c>
      <c r="S9" t="n">
        <v>25.43</v>
      </c>
      <c r="T9" t="n">
        <v>29.52</v>
      </c>
      <c r="U9" t="n">
        <v>36.3</v>
      </c>
    </row>
    <row r="10">
      <c r="N10" t="n">
        <v>541.5</v>
      </c>
      <c r="O10" t="n">
        <v>0.9429999999999999</v>
      </c>
      <c r="P10" t="n">
        <v>28.15</v>
      </c>
      <c r="R10" t="n">
        <v>134830</v>
      </c>
      <c r="S10" t="n">
        <v>24.58</v>
      </c>
      <c r="T10" t="n">
        <v>28.15</v>
      </c>
      <c r="U10" t="n">
        <v>34.56</v>
      </c>
    </row>
    <row r="11">
      <c r="N11" t="n">
        <v>551</v>
      </c>
      <c r="O11" t="n">
        <v>0.957</v>
      </c>
      <c r="P11" t="n">
        <v>28.95</v>
      </c>
      <c r="R11" t="n">
        <v>137790</v>
      </c>
      <c r="S11" t="n">
        <v>25.05</v>
      </c>
      <c r="T11" t="n">
        <v>28.95</v>
      </c>
      <c r="U11" t="n">
        <v>35.65</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sheetData>
    <row r="1">
      <c r="A1" t="inlineStr">
        <is>
          <t>ID</t>
        </is>
      </c>
      <c r="B1" t="inlineStr">
        <is>
          <t>Longitude</t>
        </is>
      </c>
      <c r="C1" t="inlineStr">
        <is>
          <t>Latitude</t>
        </is>
      </c>
      <c r="D1" t="inlineStr">
        <is>
          <t>Proxy</t>
        </is>
      </c>
      <c r="E1" t="inlineStr">
        <is>
          <t>Tie Point Depth (cm)</t>
        </is>
      </c>
      <c r="F1" t="inlineStr">
        <is>
          <t>Tie Point Age (yr)</t>
        </is>
      </c>
      <c r="G1" t="inlineStr">
        <is>
          <t>Tie Point Uncertainty (yr)</t>
        </is>
      </c>
      <c r="H1" t="inlineStr">
        <is>
          <t>Hadley Bias Correction</t>
        </is>
      </c>
      <c r="I1" t="inlineStr">
        <is>
          <t>Hadley uncertainty</t>
        </is>
      </c>
      <c r="J1" t="inlineStr">
        <is>
          <t>TF Uncertainty</t>
        </is>
      </c>
      <c r="K1" t="inlineStr">
        <is>
          <t>SS Uncertainty</t>
        </is>
      </c>
      <c r="L1" t="inlineStr">
        <is>
          <t>Benthic d18O Depth (cm)</t>
        </is>
      </c>
      <c r="M1" t="inlineStr">
        <is>
          <t>Benthic d18O (per mil)</t>
        </is>
      </c>
      <c r="N1" t="inlineStr">
        <is>
          <t>Depth (cm)</t>
        </is>
      </c>
      <c r="O1" t="inlineStr">
        <is>
          <t>Proxy Value</t>
        </is>
      </c>
      <c r="P1" t="inlineStr">
        <is>
          <t>SST (ºC)</t>
        </is>
      </c>
      <c r="Q1" t="inlineStr">
        <is>
          <t>Biascorr</t>
        </is>
      </c>
      <c r="R1" t="inlineStr">
        <is>
          <t>Age (yr)</t>
        </is>
      </c>
      <c r="S1" t="inlineStr">
        <is>
          <t>SST -2sd</t>
        </is>
      </c>
      <c r="T1" t="inlineStr">
        <is>
          <t>SST mean</t>
        </is>
      </c>
      <c r="U1" t="inlineStr">
        <is>
          <t>SST +2sd</t>
        </is>
      </c>
      <c r="V1" t="inlineStr">
        <is>
          <t>Publication</t>
        </is>
      </c>
      <c r="W1" t="inlineStr">
        <is>
          <t>Data Link</t>
        </is>
      </c>
      <c r="X1" t="inlineStr">
        <is>
          <t>Chronology Info</t>
        </is>
      </c>
      <c r="Y1" t="inlineStr">
        <is>
          <t>Method</t>
        </is>
      </c>
      <c r="Z1" t="inlineStr">
        <is>
          <t>Elevation (m)</t>
        </is>
      </c>
    </row>
    <row r="2">
      <c r="A2" t="inlineStr">
        <is>
          <t>ODP 871</t>
        </is>
      </c>
      <c r="B2" t="n">
        <v>172.3443</v>
      </c>
      <c r="C2" t="n">
        <v>5.5572</v>
      </c>
      <c r="D2" t="inlineStr">
        <is>
          <t>MgCa</t>
        </is>
      </c>
      <c r="M2" t="n">
        <v>3.95</v>
      </c>
      <c r="N2" t="n">
        <v>1.15</v>
      </c>
      <c r="O2" t="n">
        <v>4.266</v>
      </c>
      <c r="P2" t="n">
        <v>28.9</v>
      </c>
      <c r="R2" t="n">
        <v>115000</v>
      </c>
      <c r="T2" t="n">
        <v>28.9</v>
      </c>
      <c r="V2" t="inlineStr">
        <is>
          <t>Dyez, K.A. and A.C. Ravelo. 2014. Dynamical changes in the tropical Pacific warm pool and zonal SST gradient during the Pleistocene. Geophysical Research Letters, 41(21), 7626-7633. doi: 10.1002/2014GL061639</t>
        </is>
      </c>
      <c r="W2" t="inlineStr">
        <is>
          <t>https://www.ncei.noaa.gov/pub/data/paleo/contributions_by_author/dyez2014-grl/dyez2014-grl.txt</t>
        </is>
      </c>
      <c r="X2" t="inlineStr">
        <is>
          <t>Chronology -------------------------------- Variables</t>
        </is>
      </c>
      <c r="Y2" t="inlineStr">
        <is>
          <t>Variables | Data variables follow (have double marker- "##") | Data line variables format:  Variables list, one per line, shortname-tab-nine components: what, material, error, units, seasonality, archive, detail, method, C or N for Character or Numeric data) depth_m  Depth,,,m,,,,,N age_calkaBP  age,,,calendar kiloyears before 1950,,,,,N d18Ouvig  delta 18O,Uvigerina spp.,,per mil VPDB,,Paleoceanography,250-355 µm,,N Mg/Ca-g.rub-w	Magnesium Calcium ratio,Globigerinoides ruber white,, mmol/mol,,Paleoceanography,250-355 µm,,N SST-Mg/Ca-g.rub-w sea-surface temperature,Mg/Ca Globigerinoides ruber white,,degrees C,,Paleoceanography,,Using formula from Dyez and Ravelo(2013),N</t>
        </is>
      </c>
      <c r="Z2" t="n">
        <v>-1254</v>
      </c>
    </row>
    <row r="3">
      <c r="M3" t="n">
        <v>3.55</v>
      </c>
      <c r="N3" t="n">
        <v>1.18</v>
      </c>
      <c r="O3" t="n">
        <v>4.04</v>
      </c>
      <c r="P3" t="n">
        <v>28.4</v>
      </c>
      <c r="R3" t="n">
        <v>118000</v>
      </c>
      <c r="T3" t="n">
        <v>28.4</v>
      </c>
    </row>
    <row r="4">
      <c r="M4" t="n">
        <v>4.01</v>
      </c>
      <c r="N4" t="n">
        <v>1.21</v>
      </c>
      <c r="O4" t="n">
        <v>4.473</v>
      </c>
      <c r="P4" t="n">
        <v>29.4</v>
      </c>
      <c r="R4" t="n">
        <v>121000</v>
      </c>
      <c r="T4" t="n">
        <v>29.4</v>
      </c>
    </row>
    <row r="5">
      <c r="M5" t="n">
        <v>3.55</v>
      </c>
      <c r="N5" t="n">
        <v>1.24</v>
      </c>
      <c r="O5" t="n">
        <v>4.746</v>
      </c>
      <c r="P5" t="n">
        <v>29.9</v>
      </c>
      <c r="R5" t="n">
        <v>124000</v>
      </c>
      <c r="T5" t="n">
        <v>29.9</v>
      </c>
    </row>
    <row r="6">
      <c r="M6" t="n">
        <v>4.06</v>
      </c>
      <c r="N6" t="n">
        <v>1.27</v>
      </c>
      <c r="O6" t="n">
        <v>4.533</v>
      </c>
      <c r="P6" t="n">
        <v>29.5</v>
      </c>
      <c r="R6" t="n">
        <v>127000</v>
      </c>
      <c r="T6" t="n">
        <v>29.5</v>
      </c>
    </row>
    <row r="7">
      <c r="M7" t="n">
        <v>3.77</v>
      </c>
      <c r="N7" t="n">
        <v>1.3</v>
      </c>
      <c r="O7" t="n">
        <v>4.558</v>
      </c>
      <c r="P7" t="n">
        <v>29.5</v>
      </c>
      <c r="R7" t="n">
        <v>130000</v>
      </c>
      <c r="T7" t="n">
        <v>29.5</v>
      </c>
    </row>
    <row r="8">
      <c r="M8" t="n">
        <v>4.78</v>
      </c>
      <c r="N8" t="n">
        <v>1.33</v>
      </c>
      <c r="O8" t="n">
        <v>4.198</v>
      </c>
      <c r="P8" t="n">
        <v>28.8</v>
      </c>
      <c r="R8" t="n">
        <v>133000</v>
      </c>
      <c r="T8" t="n">
        <v>28.8</v>
      </c>
    </row>
    <row r="9">
      <c r="M9" t="n">
        <v>4.31</v>
      </c>
      <c r="N9" t="n">
        <v>1.36</v>
      </c>
      <c r="O9" t="n">
        <v>4.196</v>
      </c>
      <c r="P9" t="n">
        <v>28.8</v>
      </c>
      <c r="R9" t="n">
        <v>136000</v>
      </c>
      <c r="T9" t="n">
        <v>28.8</v>
      </c>
    </row>
    <row r="10">
      <c r="M10" t="n">
        <v>4.54</v>
      </c>
      <c r="N10" t="n">
        <v>1.39</v>
      </c>
      <c r="O10" t="n">
        <v>3.912</v>
      </c>
      <c r="P10" t="n">
        <v>28.1</v>
      </c>
      <c r="R10" t="n">
        <v>139000</v>
      </c>
      <c r="T10" t="n">
        <v>28.1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Jeremy Hoffman</dc:creator>
  <dcterms:created xmlns:dcterms="http://purl.org/dc/terms/" xmlns:xsi="http://www.w3.org/2001/XMLSchema-instance" xsi:type="dcterms:W3CDTF">2016-07-29T21:52:57Z</dcterms:created>
  <dcterms:modified xmlns:dcterms="http://purl.org/dc/terms/" xmlns:xsi="http://www.w3.org/2001/XMLSchema-instance" xsi:type="dcterms:W3CDTF">2026-07-20T18:23:24Z</dcterms:modified>
  <cp:lastModifiedBy>Anna Chen</cp:lastModifiedBy>
  <cp:lastPrinted>2016-08-02T02:10:43Z</cp:lastPrinted>
</cp:coreProperties>
</file>