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00" yWindow="-21000" windowWidth="21120" windowHeight="16540" tabRatio="600" firstSheet="8" activeTab="12" autoFilterDateGrouping="1"/>
  </bookViews>
  <sheets>
    <sheet xmlns:r="http://schemas.openxmlformats.org/officeDocument/2006/relationships" name="TEMPLATE" sheetId="1" state="visible" r:id="rId1"/>
    <sheet xmlns:r="http://schemas.openxmlformats.org/officeDocument/2006/relationships" name="ODP1148_TEX86" sheetId="2" state="visible" r:id="rId2"/>
    <sheet xmlns:r="http://schemas.openxmlformats.org/officeDocument/2006/relationships" name="ODP1148_UK37" sheetId="3" state="visible" r:id="rId3"/>
    <sheet xmlns:r="http://schemas.openxmlformats.org/officeDocument/2006/relationships" name="IODP-U1446" sheetId="4" state="visible" r:id="rId4"/>
    <sheet xmlns:r="http://schemas.openxmlformats.org/officeDocument/2006/relationships" name="KNR191_CDH19" sheetId="5" state="visible" r:id="rId5"/>
    <sheet xmlns:r="http://schemas.openxmlformats.org/officeDocument/2006/relationships" name="ODP1016C" sheetId="6" state="visible" r:id="rId6"/>
    <sheet xmlns:r="http://schemas.openxmlformats.org/officeDocument/2006/relationships" name="ODP1014A" sheetId="7" state="visible" r:id="rId7"/>
    <sheet xmlns:r="http://schemas.openxmlformats.org/officeDocument/2006/relationships" name="ODP999A" sheetId="8" state="visible" r:id="rId8"/>
    <sheet xmlns:r="http://schemas.openxmlformats.org/officeDocument/2006/relationships" name="U939" sheetId="9" state="visible" r:id="rId9"/>
    <sheet xmlns:r="http://schemas.openxmlformats.org/officeDocument/2006/relationships" name="SO136-111" sheetId="10" state="visible" r:id="rId10"/>
    <sheet xmlns:r="http://schemas.openxmlformats.org/officeDocument/2006/relationships" name="MD02-2575" sheetId="11" state="visible" r:id="rId11"/>
    <sheet xmlns:r="http://schemas.openxmlformats.org/officeDocument/2006/relationships" name="RC10-62" sheetId="12" state="visible" r:id="rId12"/>
    <sheet xmlns:r="http://schemas.openxmlformats.org/officeDocument/2006/relationships" name="RC13-110" sheetId="13" state="visible" r:id="rId13"/>
    <sheet xmlns:r="http://schemas.openxmlformats.org/officeDocument/2006/relationships" name="RC13-115" sheetId="14" state="visible" r:id="rId14"/>
    <sheet xmlns:r="http://schemas.openxmlformats.org/officeDocument/2006/relationships" name="V19-29" sheetId="15" state="visible" r:id="rId15"/>
    <sheet xmlns:r="http://schemas.openxmlformats.org/officeDocument/2006/relationships" name="VNTR1-8" sheetId="16" state="visible" r:id="rId16"/>
    <sheet xmlns:r="http://schemas.openxmlformats.org/officeDocument/2006/relationships" name="Y69-106P" sheetId="17" state="visible" r:id="rId17"/>
    <sheet xmlns:r="http://schemas.openxmlformats.org/officeDocument/2006/relationships" name="Y69-71P" sheetId="18" state="visible" r:id="rId18"/>
    <sheet xmlns:r="http://schemas.openxmlformats.org/officeDocument/2006/relationships" name="Y71-3-2" sheetId="19" state="visible" r:id="rId19"/>
    <sheet xmlns:r="http://schemas.openxmlformats.org/officeDocument/2006/relationships" name="Y71-9-101" sheetId="20" state="visible" r:id="rId20"/>
    <sheet xmlns:r="http://schemas.openxmlformats.org/officeDocument/2006/relationships" name="Y71-6-12" sheetId="21" state="visible" r:id="rId21"/>
    <sheet xmlns:r="http://schemas.openxmlformats.org/officeDocument/2006/relationships" name="ODP1239" sheetId="22" state="visible" r:id="rId22"/>
    <sheet xmlns:r="http://schemas.openxmlformats.org/officeDocument/2006/relationships" name="NH22P" sheetId="23" state="visible" r:id="rId23"/>
    <sheet xmlns:r="http://schemas.openxmlformats.org/officeDocument/2006/relationships" name="TR163-19" sheetId="24" state="visible" r:id="rId24"/>
    <sheet xmlns:r="http://schemas.openxmlformats.org/officeDocument/2006/relationships" name="SK157-4" sheetId="25" state="visible" r:id="rId25"/>
    <sheet xmlns:r="http://schemas.openxmlformats.org/officeDocument/2006/relationships" name="Sample" sheetId="26" state="visible" r:id="rId26"/>
  </sheets>
  <definedNames/>
  <calcPr calcId="191029" fullCalcOnLoad="1"/>
</workbook>
</file>

<file path=xl/styles.xml><?xml version="1.0" encoding="utf-8"?>
<styleSheet xmlns="http://schemas.openxmlformats.org/spreadsheetml/2006/main">
  <numFmts count="1">
    <numFmt numFmtId="164" formatCode="0.000"/>
  </numFmts>
  <fonts count="16">
    <font>
      <name val="Helvetica"/>
      <family val="2"/>
      <color theme="1"/>
      <sz val="12"/>
    </font>
    <font>
      <name val="Arial"/>
      <family val="2"/>
      <sz val="10"/>
    </font>
    <font>
      <name val="Helvetica"/>
      <family val="2"/>
      <color theme="10"/>
      <sz val="12"/>
      <u val="single"/>
    </font>
    <font>
      <name val="Helvetica"/>
      <family val="2"/>
      <color theme="11"/>
      <sz val="12"/>
      <u val="single"/>
    </font>
    <font>
      <name val="Verdana"/>
      <family val="2"/>
      <sz val="10"/>
    </font>
    <font>
      <name val="Calibri"/>
      <family val="2"/>
      <color theme="1"/>
      <sz val="12"/>
      <scheme val="minor"/>
    </font>
    <font>
      <name val="Helvetica"/>
      <family val="2"/>
      <sz val="8"/>
    </font>
    <font>
      <name val="Helvetica"/>
      <family val="2"/>
      <b val="1"/>
      <color theme="1"/>
      <sz val="12"/>
    </font>
    <font>
      <name val="Calibri"/>
      <family val="2"/>
      <b val="1"/>
      <color theme="1"/>
      <sz val="12"/>
      <scheme val="minor"/>
    </font>
    <font>
      <name val="Calibri"/>
      <family val="2"/>
      <b val="1"/>
      <color theme="1"/>
      <sz val="11"/>
    </font>
    <font>
      <name val="Calibri"/>
      <family val="2"/>
      <color theme="1"/>
      <sz val="11"/>
    </font>
    <font>
      <name val="Arial Unicode MS"/>
      <family val="2"/>
      <color rgb="FF000000"/>
      <sz val="10"/>
    </font>
    <font>
      <name val="Geneva"/>
      <family val="2"/>
      <sz val="10"/>
    </font>
    <font>
      <name val="Tahoma"/>
      <family val="2"/>
      <color rgb="FF000000"/>
      <sz val="10"/>
    </font>
    <font>
      <name val="Tahoma"/>
      <family val="2"/>
      <b val="1"/>
      <color rgb="FF000000"/>
      <sz val="10"/>
    </font>
    <font>
      <name val="Aptos Narrow"/>
      <family val="2"/>
      <color rgb="FF000000"/>
      <sz val="12"/>
    </font>
  </fonts>
  <fills count="3">
    <fill>
      <patternFill/>
    </fill>
    <fill>
      <patternFill patternType="gray125"/>
    </fill>
    <fill>
      <patternFill patternType="solid">
        <fgColor theme="5" tint="0.799981688894314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6">
    <xf numFmtId="0" fontId="0" fillId="0" borderId="0"/>
    <xf numFmtId="0" fontId="1" fillId="0" borderId="0"/>
    <xf numFmtId="0" fontId="2" fillId="0" borderId="0"/>
    <xf numFmtId="0" fontId="3" fillId="0" borderId="0"/>
    <xf numFmtId="0" fontId="4" fillId="0" borderId="0"/>
    <xf numFmtId="0" fontId="5" fillId="0" borderId="0"/>
  </cellStyleXfs>
  <cellXfs count="31">
    <xf numFmtId="0" fontId="0" fillId="0" borderId="0" pivotButton="0" quotePrefix="0" xfId="0"/>
    <xf numFmtId="2" fontId="0" fillId="0" borderId="0" pivotButton="0" quotePrefix="0" xfId="0"/>
    <xf numFmtId="0" fontId="8" fillId="0" borderId="0"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0" fillId="0" borderId="0" pivotButton="0" quotePrefix="0" xfId="0"/>
    <xf numFmtId="49" fontId="7" fillId="0" borderId="1" applyAlignment="1" pivotButton="0" quotePrefix="0" xfId="0">
      <alignment horizontal="center" vertical="center" wrapText="1"/>
    </xf>
    <xf numFmtId="49" fontId="8" fillId="0" borderId="0" applyAlignment="1" pivotButton="0" quotePrefix="0" xfId="0">
      <alignment horizontal="center" vertical="center" wrapText="1"/>
    </xf>
    <xf numFmtId="49" fontId="9" fillId="0" borderId="0" pivotButton="0" quotePrefix="0" xfId="0"/>
    <xf numFmtId="49" fontId="10" fillId="0" borderId="0" pivotButton="0" quotePrefix="0" xfId="0"/>
    <xf numFmtId="49" fontId="1" fillId="0" borderId="0" pivotButton="0" quotePrefix="0" xfId="1"/>
    <xf numFmtId="0" fontId="10" fillId="0" borderId="0" pivotButton="0" quotePrefix="0" xfId="0"/>
    <xf numFmtId="49" fontId="2" fillId="0" borderId="0" pivotButton="0" quotePrefix="0" xfId="1496"/>
    <xf numFmtId="49" fontId="11" fillId="0" borderId="0" pivotButton="0" quotePrefix="0" xfId="0"/>
    <xf numFmtId="0" fontId="1" fillId="0" borderId="0" pivotButton="0" quotePrefix="0" xfId="1"/>
    <xf numFmtId="2" fontId="10" fillId="0" borderId="0" pivotButton="0" quotePrefix="0" xfId="0"/>
    <xf numFmtId="2" fontId="1" fillId="0" borderId="0" pivotButton="0" quotePrefix="0" xfId="1"/>
    <xf numFmtId="2" fontId="11" fillId="0" borderId="0" pivotButton="0" quotePrefix="0" xfId="0"/>
    <xf numFmtId="1" fontId="1" fillId="0" borderId="0" pivotButton="0" quotePrefix="0" xfId="1"/>
    <xf numFmtId="1" fontId="0" fillId="0" borderId="0" pivotButton="0" quotePrefix="0" xfId="0"/>
    <xf numFmtId="49" fontId="1" fillId="2" borderId="0" pivotButton="0" quotePrefix="0" xfId="1"/>
    <xf numFmtId="1" fontId="12" fillId="0" borderId="0" pivotButton="0" quotePrefix="0" xfId="0"/>
    <xf numFmtId="0" fontId="12" fillId="0" borderId="0" pivotButton="0" quotePrefix="0" xfId="0"/>
    <xf numFmtId="164" fontId="0" fillId="0" borderId="0" pivotButton="0" quotePrefix="0" xfId="0"/>
    <xf numFmtId="0" fontId="15" fillId="0" borderId="0" pivotButton="0" quotePrefix="0" xfId="0"/>
    <xf numFmtId="0" fontId="11" fillId="0" borderId="0" pivotButton="0" quotePrefix="0" xfId="0"/>
    <xf numFmtId="0" fontId="0" fillId="0" borderId="0" applyAlignment="1" pivotButton="0" quotePrefix="0" xfId="0">
      <alignment horizontal="center"/>
    </xf>
    <xf numFmtId="0" fontId="0" fillId="0" borderId="2" applyAlignment="1" pivotButton="0" quotePrefix="0" xfId="0">
      <alignment horizontal="center"/>
    </xf>
    <xf numFmtId="0" fontId="0" fillId="0" borderId="0" pivotButton="0" quotePrefix="0" xfId="0"/>
    <xf numFmtId="0" fontId="0" fillId="0" borderId="2" pivotButton="0" quotePrefix="0" xfId="0"/>
  </cellXfs>
  <cellStyles count="6">
    <cellStyle name="Normal" xfId="0" builtinId="0"/>
    <cellStyle name="Normal 3" xfId="1"/>
    <cellStyle name="Hyperlink" xfId="2" builtinId="8" hidden="1"/>
    <cellStyle name="Followed Hyperlink" xfId="3" builtinId="9" hidden="1"/>
    <cellStyle name="Normal 2" xfId="4"/>
    <cellStyle name="Normal 2 2" xfId="5"/>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omments/comment1.xml><?xml version="1.0" encoding="utf-8"?>
<comments xmlns="http://schemas.openxmlformats.org/spreadsheetml/2006/main">
  <authors>
    <author>Anna Chen</author>
  </authors>
  <commentList>
    <comment ref="M1" authorId="0" shapeId="0">
      <text>
        <t>Anna Chen:
Thiis is delta O18 PDB from Globigerinoides ruber (white)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hyperlink" Target="https://www.ncei.noaa.gov/pub/data/paleo/contributions_by_author/li2017/li2017.txt" TargetMode="External" Id="rId1"/></Relationships>
</file>

<file path=xl/worksheets/_rels/sheet3.xml.rels><Relationships xmlns="http://schemas.openxmlformats.org/package/2006/relationships"><Relationship Type="http://schemas.openxmlformats.org/officeDocument/2006/relationships/hyperlink" Target="https://www.ncei.noaa.gov/pub/data/paleo/contributions_by_author/li2017/li2017.txt" TargetMode="External" Id="rId1"/></Relationships>
</file>

<file path=xl/worksheets/_rels/sheet4.xml.rels><Relationships xmlns="http://schemas.openxmlformats.org/package/2006/relationships"><Relationship Type="http://schemas.openxmlformats.org/officeDocument/2006/relationships/hyperlink" Target="https://www.ncei.noaa.gov/pub/data/paleo/contributions_by_author/clemens2021/clemens2021-u1446-mgca-noaa.txt" TargetMode="External" Id="rId1"/></Relationships>
</file>

<file path=xl/worksheets/_rels/sheet5.xml.rels><Relationships xmlns="http://schemas.openxmlformats.org/package/2006/relationships"><Relationship Type="http://schemas.openxmlformats.org/officeDocument/2006/relationships/hyperlink" Target="https://www.ncei.noaa.gov/pub/data/paleo/contributions_by_author/henry2016/henry2016sst.txt" TargetMode="External" Id="rId1"/></Relationships>
</file>

<file path=xl/worksheets/_rels/sheet7.xml.rels><Relationships xmlns="http://schemas.openxmlformats.org/package/2006/relationships"><Relationship Type="http://schemas.openxmlformats.org/officeDocument/2006/relationships/hyperlink" Target="https://www.ncei.noaa.gov/pub/data/paleo/paleocean/sediment_files/complete/odp1014a-tab.txt" TargetMode="External" Id="rId1"/></Relationships>
</file>

<file path=xl/worksheets/_rels/sheet8.xml.rels><Relationships xmlns="http://schemas.openxmlformats.org/package/2006/relationships"><Relationship Type="http://schemas.openxmlformats.org/officeDocument/2006/relationships/hyperlink" Target="https://www.ncei.noaa.gov/pub/data/paleo/paleocean/sediment_files/complete/odp999a-tab.txt" TargetMode="External" Id="rId1"/></Relationships>
</file>

<file path=xl/worksheets/_rels/sheet9.xml.rels><Relationships xmlns="http://schemas.openxmlformats.org/package/2006/relationships"><Relationship Type="http://schemas.openxmlformats.org/officeDocument/2006/relationships/hyperlink" Target="https://www.ncei.noaa.gov/pub/data/paleo/paleocean/sediment_files/complete/u939-tab.txt" TargetMode="External" Id="rId1"/></Relationships>
</file>

<file path=xl/worksheets/_rels/sheet10.xml.rels><Relationships xmlns="http://schemas.openxmlformats.org/package/2006/relationships"><Relationship Type="http://schemas.openxmlformats.org/officeDocument/2006/relationships/hyperlink" Target="https://www.ncei.noaa.gov/pub/data/paleo/contributions_by_author/crosta2004/crosta2004.txt" TargetMode="External" Id="rId1"/></Relationships>
</file>

<file path=xl/worksheets/_rels/sheet11.xml.rels><Relationships xmlns="http://schemas.openxmlformats.org/package/2006/relationships"><Relationship Type="http://schemas.openxmlformats.org/officeDocument/2006/relationships/hyperlink" Target="https://www.ncei.noaa.gov/pub/data/paleo/paleocean/sediment_files/complete/md2-2575-tab.txt"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2.xml.rels><Relationships xmlns="http://schemas.openxmlformats.org/package/2006/relationships"><Relationship Type="http://schemas.openxmlformats.org/officeDocument/2006/relationships/hyperlink" Target="https://www.ncei.noaa.gov/pub/data/paleo/contributions_by_author/pisias1997b/rc10-62_sst.ager" TargetMode="External" Id="rId1"/></Relationships>
</file>

<file path=xl/worksheets/_rels/sheet13.xml.rels><Relationships xmlns="http://schemas.openxmlformats.org/package/2006/relationships"><Relationship Type="http://schemas.openxmlformats.org/officeDocument/2006/relationships/hyperlink" Target="https://www.ncei.noaa.gov/pub/data/paleo/contributions_by_author/pisias1997b/rc13-110_sst.ager" TargetMode="External" Id="rId1"/></Relationships>
</file>

<file path=xl/worksheets/_rels/sheet15.xml.rels><Relationships xmlns="http://schemas.openxmlformats.org/package/2006/relationships"><Relationship Type="http://schemas.openxmlformats.org/officeDocument/2006/relationships/hyperlink" Target="https://www.ncei.noaa.gov/pub/data/paleo/contributions_by_author/pisias1997b/v19-29_sst.ager" TargetMode="External" Id="rId1"/></Relationships>
</file>

<file path=xl/worksheets/_rels/sheet16.xml.rels><Relationships xmlns="http://schemas.openxmlformats.org/package/2006/relationships"><Relationship Type="http://schemas.openxmlformats.org/officeDocument/2006/relationships/hyperlink" Target="https://www.ncei.noaa.gov/pub/data/paleo/contributions_by_author/pisias1997b/vntr1-8_sst.ager" TargetMode="External" Id="rId1"/></Relationships>
</file>

<file path=xl/worksheets/_rels/sheet22.xml.rels><Relationships xmlns="http://schemas.openxmlformats.org/package/2006/relationships"><Relationship Type="http://schemas.openxmlformats.org/officeDocument/2006/relationships/hyperlink" Target="https://www.ncei.noaa.gov/pub/data/paleo/contributions_by_author/dyez2016/dyez2016-sst-merge.txt" TargetMode="External" Id="rId1"/></Relationships>
</file>

<file path=xl/worksheets/_rels/sheet23.xml.rels><Relationships xmlns="http://schemas.openxmlformats.org/package/2006/relationships"><Relationship Type="http://schemas.openxmlformats.org/officeDocument/2006/relationships/hyperlink" Target="https://www.ncei.noaa.gov/pub/data/paleo/reconstructions/kumar2022/nh22p_kumar2022.txt" TargetMode="External" Id="rId1"/></Relationships>
</file>

<file path=xl/worksheets/_rels/sheet24.xml.rels><Relationships xmlns="http://schemas.openxmlformats.org/package/2006/relationships"><Relationship Type="http://schemas.openxmlformats.org/officeDocument/2006/relationships/hyperlink" Target="https://www.ncei.noaa.gov/pub/data/paleo/contributions_by_author/lea2004/lea2004.txt" TargetMode="External" Id="rId1"/></Relationships>
</file>

<file path=xl/worksheets/_rels/sheet25.xml.rels><Relationships xmlns="http://schemas.openxmlformats.org/package/2006/relationships"><Relationship Type="http://schemas.openxmlformats.org/officeDocument/2006/relationships/hyperlink" Target="https://www.ncei.noaa.gov/pub/data/paleo/paleocean/sediment_files/complete/sk157_4-tab.txt" TargetMode="External" Id="rId1"/></Relationships>
</file>

<file path=xl/worksheets/sheet1.xml><?xml version="1.0" encoding="utf-8"?>
<worksheet xmlns="http://schemas.openxmlformats.org/spreadsheetml/2006/main">
  <sheetPr>
    <tabColor theme="6"/>
    <outlinePr summaryBelow="1" summaryRight="1"/>
    <pageSetUpPr/>
  </sheetPr>
  <dimension ref="A1:U2"/>
  <sheetViews>
    <sheetView workbookViewId="0">
      <selection activeCell="C8" sqref="C8"/>
    </sheetView>
  </sheetViews>
  <sheetFormatPr baseColWidth="10" defaultColWidth="11.5703125" defaultRowHeight="16"/>
  <sheetData>
    <row r="1" ht="47" customFormat="1" customHeight="1" s="2">
      <c r="A1" s="3" t="inlineStr">
        <is>
          <t>ID</t>
        </is>
      </c>
      <c r="B1" s="3" t="inlineStr">
        <is>
          <t>Longitude</t>
        </is>
      </c>
      <c r="C1" s="3" t="inlineStr">
        <is>
          <t>Latitude</t>
        </is>
      </c>
      <c r="D1" s="3" t="inlineStr">
        <is>
          <t>Proxy</t>
        </is>
      </c>
      <c r="E1" s="4" t="inlineStr">
        <is>
          <t>Tie Point Depth (cm)</t>
        </is>
      </c>
      <c r="F1" s="4" t="inlineStr">
        <is>
          <t>Tie Point Age (yr)</t>
        </is>
      </c>
      <c r="G1" s="4" t="inlineStr">
        <is>
          <t>Tie Point Uncertainty (yr)</t>
        </is>
      </c>
      <c r="H1" s="4" t="inlineStr">
        <is>
          <t>Hadley Bias Correction</t>
        </is>
      </c>
      <c r="I1" s="4" t="inlineStr">
        <is>
          <t>Hadley uncertainty</t>
        </is>
      </c>
      <c r="J1" s="4" t="inlineStr">
        <is>
          <t>TF Uncertainty</t>
        </is>
      </c>
      <c r="K1" s="4" t="inlineStr">
        <is>
          <t>SS Uncertainty</t>
        </is>
      </c>
      <c r="L1" s="4" t="inlineStr">
        <is>
          <t>Benthic d18O Depth (cm)</t>
        </is>
      </c>
      <c r="M1" s="4" t="inlineStr">
        <is>
          <t>Benthic d18O (per mil)</t>
        </is>
      </c>
      <c r="N1" s="4" t="inlineStr">
        <is>
          <t>Depth (cm)</t>
        </is>
      </c>
      <c r="O1" s="4" t="inlineStr">
        <is>
          <t>Proxy Value</t>
        </is>
      </c>
      <c r="P1" s="4" t="inlineStr">
        <is>
          <t>SST (ºC)</t>
        </is>
      </c>
      <c r="Q1" s="4" t="inlineStr">
        <is>
          <t>Biascorr</t>
        </is>
      </c>
      <c r="R1" s="4" t="inlineStr">
        <is>
          <t>Age (yr)</t>
        </is>
      </c>
      <c r="S1" s="4" t="inlineStr">
        <is>
          <t>SST -2sd</t>
        </is>
      </c>
      <c r="T1" s="4" t="inlineStr">
        <is>
          <t>SST mean</t>
        </is>
      </c>
      <c r="U1" s="4" t="inlineStr">
        <is>
          <t>SST +2sd</t>
        </is>
      </c>
    </row>
    <row r="2">
      <c r="E2" s="28" t="inlineStr">
        <is>
          <t>Note: these data are absent in most sheets</t>
        </is>
      </c>
      <c r="F2" s="30" t="n"/>
      <c r="G2" s="30" t="n"/>
      <c r="H2" s="30" t="n"/>
      <c r="I2" s="30" t="n"/>
      <c r="J2" s="30" t="n"/>
      <c r="K2" s="30" t="n"/>
      <c r="N2" s="27" t="inlineStr">
        <is>
          <t>Note: because we have 1 sheet per proxy, these data are inferred from the same proxy.</t>
        </is>
      </c>
    </row>
  </sheetData>
  <mergeCells count="2">
    <mergeCell ref="E2:K2"/>
    <mergeCell ref="N2:U2"/>
  </mergeCells>
  <pageMargins left="0.7" right="0.7" top="0.75" bottom="0.75" header="0.3" footer="0.3"/>
  <pageSetup orientation="portrait" horizontalDpi="0" verticalDpi="0"/>
</worksheet>
</file>

<file path=xl/worksheets/sheet2.xml><?xml version="1.0" encoding="utf-8"?>
<worksheet xmlns="http://schemas.openxmlformats.org/spreadsheetml/2006/main">
  <sheetPr>
    <tabColor rgb="FF0000FF"/>
    <outlinePr summaryBelow="1" summaryRight="1"/>
    <pageSetUpPr/>
  </sheetPr>
  <dimension ref="A1:Z200"/>
  <sheetViews>
    <sheetView topLeftCell="N1" zoomScale="64" workbookViewId="0">
      <selection activeCell="P13" sqref="P13"/>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ht="17" customHeight="1" s="29">
      <c r="A2" s="9" t="inlineStr">
        <is>
          <t>ODP1148</t>
        </is>
      </c>
      <c r="B2" s="16" t="n">
        <v>116.566</v>
      </c>
      <c r="C2" s="16" t="n">
        <v>18.836</v>
      </c>
      <c r="D2" s="16" t="inlineStr">
        <is>
          <t>TEX86</t>
        </is>
      </c>
      <c r="E2" s="1" t="n"/>
      <c r="F2" s="1" t="n"/>
      <c r="G2" s="1" t="n"/>
      <c r="H2" s="17" t="n"/>
      <c r="I2" s="17" t="n"/>
      <c r="J2" s="17" t="n"/>
      <c r="K2" s="17" t="n"/>
      <c r="L2" s="17" t="n"/>
      <c r="M2" s="18" t="n"/>
      <c r="N2" s="17" t="n">
        <v>1499</v>
      </c>
      <c r="O2" t="n">
        <v>0.606</v>
      </c>
      <c r="P2" s="1" t="inlineStr">
        <is>
          <t xml:space="preserve">18.8 </t>
        </is>
      </c>
      <c r="Q2" s="1" t="n"/>
      <c r="R2" s="19" t="n">
        <v>115040</v>
      </c>
      <c r="S2" s="1" t="n"/>
      <c r="T2" s="1" t="inlineStr">
        <is>
          <t xml:space="preserve">18.8 </t>
        </is>
      </c>
      <c r="U2" s="1" t="n"/>
      <c r="V2" s="6" t="inlineStr">
        <is>
          <t>Li, D., M. Zhao, and J. Tian. 2017. Low-high latitude interaction forcing on the evolution of the 400 kyr cycle in East Asian winter monsoon records during the last 2.8 Myr. Quaternary Science Reviews, 172, 72-82. doi: 10.1016/j.quascirev.2017.08.005</t>
        </is>
      </c>
      <c r="W2" s="13" t="inlineStr">
        <is>
          <t>https://www.ncei.noaa.gov/pub/data/paleo/contributions_by_author/li2017/li2017.txt</t>
        </is>
      </c>
      <c r="Z2" t="n">
        <v>-3296</v>
      </c>
    </row>
    <row r="3" ht="17" customHeight="1" s="29">
      <c r="B3" s="1" t="n"/>
      <c r="C3" s="1" t="n"/>
      <c r="D3" s="1" t="n"/>
      <c r="E3" s="1" t="n"/>
      <c r="F3" s="1" t="n"/>
      <c r="G3" s="1" t="n"/>
      <c r="H3" s="17" t="n"/>
      <c r="I3" s="17" t="n"/>
      <c r="J3" s="17" t="n"/>
      <c r="K3" s="17" t="n"/>
      <c r="L3" s="17" t="n"/>
      <c r="M3" s="18" t="n"/>
      <c r="N3" s="17" t="n">
        <v>1551</v>
      </c>
      <c r="O3" t="n">
        <v>0.669</v>
      </c>
      <c r="P3" s="1" t="inlineStr">
        <is>
          <t xml:space="preserve">21.2 </t>
        </is>
      </c>
      <c r="Q3" s="1" t="n"/>
      <c r="R3" s="15" t="n">
        <v>119200</v>
      </c>
      <c r="S3" s="1" t="n"/>
      <c r="T3" s="1" t="inlineStr">
        <is>
          <t xml:space="preserve">21.2 </t>
        </is>
      </c>
      <c r="U3" s="1" t="n"/>
    </row>
    <row r="4" ht="17" customHeight="1" s="29">
      <c r="B4" s="1" t="n"/>
      <c r="C4" s="1" t="n"/>
      <c r="D4" s="1" t="n"/>
      <c r="E4" s="1" t="n"/>
      <c r="F4" s="1" t="n"/>
      <c r="G4" s="1" t="n"/>
      <c r="H4" s="17" t="n"/>
      <c r="I4" s="17" t="n"/>
      <c r="J4" s="17" t="n"/>
      <c r="K4" s="17" t="n"/>
      <c r="L4" s="17" t="n"/>
      <c r="M4" s="18" t="n"/>
      <c r="N4" s="17" t="n">
        <v>1601</v>
      </c>
      <c r="O4" t="n">
        <v>0.643</v>
      </c>
      <c r="P4" s="1" t="inlineStr">
        <is>
          <t xml:space="preserve">20.2 </t>
        </is>
      </c>
      <c r="Q4" s="1" t="n"/>
      <c r="R4" s="15" t="n">
        <v>123200</v>
      </c>
      <c r="S4" s="1" t="n"/>
      <c r="T4" s="1" t="inlineStr">
        <is>
          <t xml:space="preserve">20.2 </t>
        </is>
      </c>
      <c r="U4" s="1" t="n"/>
    </row>
    <row r="5" ht="17" customHeight="1" s="29">
      <c r="B5" s="1" t="n"/>
      <c r="C5" s="1" t="n"/>
      <c r="D5" s="1" t="n"/>
      <c r="E5" s="1" t="n"/>
      <c r="F5" s="1" t="n"/>
      <c r="G5" s="1" t="n"/>
      <c r="H5" s="17" t="n"/>
      <c r="I5" s="17" t="n"/>
      <c r="J5" s="17" t="n"/>
      <c r="K5" s="17" t="n"/>
      <c r="L5" s="17" t="n"/>
      <c r="M5" s="18" t="n"/>
      <c r="N5" s="17" t="n">
        <v>1651</v>
      </c>
      <c r="O5" t="n">
        <v>0.594</v>
      </c>
      <c r="P5" s="1" t="inlineStr">
        <is>
          <t xml:space="preserve">18.4 </t>
        </is>
      </c>
      <c r="Q5" s="1" t="n"/>
      <c r="R5" s="15" t="n">
        <v>128465</v>
      </c>
      <c r="S5" s="1" t="n"/>
      <c r="T5" s="1" t="inlineStr">
        <is>
          <t xml:space="preserve">18.4 </t>
        </is>
      </c>
      <c r="U5" s="1" t="n"/>
    </row>
    <row r="6" ht="17" customHeight="1" s="29">
      <c r="B6" s="1" t="n"/>
      <c r="C6" s="1" t="n"/>
      <c r="D6" s="1" t="n"/>
      <c r="E6" s="17" t="n"/>
      <c r="F6" s="17" t="n"/>
      <c r="G6" s="17" t="n"/>
      <c r="H6" s="17" t="n"/>
      <c r="I6" s="17" t="n"/>
      <c r="J6" s="17" t="n"/>
      <c r="K6" s="17" t="n"/>
      <c r="L6" s="17" t="n"/>
      <c r="M6" s="18" t="n"/>
      <c r="N6" s="17" t="n">
        <v>1701</v>
      </c>
      <c r="O6" t="n">
        <v>0.57</v>
      </c>
      <c r="P6" s="1" t="inlineStr">
        <is>
          <t xml:space="preserve">17.4 </t>
        </is>
      </c>
      <c r="Q6" s="1" t="n"/>
      <c r="R6" s="15" t="n">
        <v>134047</v>
      </c>
      <c r="S6" s="1" t="n"/>
      <c r="T6" s="1" t="inlineStr">
        <is>
          <t xml:space="preserve">17.4 </t>
        </is>
      </c>
      <c r="U6" s="1" t="n"/>
    </row>
    <row r="7" ht="17" customHeight="1" s="29">
      <c r="B7" s="1" t="n"/>
      <c r="C7" s="1" t="n"/>
      <c r="D7" s="1" t="n"/>
      <c r="E7" s="17" t="n"/>
      <c r="F7" s="17" t="n"/>
      <c r="G7" s="17" t="n"/>
      <c r="H7" s="17" t="n"/>
      <c r="I7" s="17" t="n"/>
      <c r="J7" s="17" t="n"/>
      <c r="K7" s="17" t="n"/>
      <c r="L7" s="17" t="n"/>
      <c r="M7" s="18" t="n"/>
      <c r="N7" s="17" t="n">
        <v>1751</v>
      </c>
      <c r="O7" t="n">
        <v>0.571</v>
      </c>
      <c r="P7" s="1" t="inlineStr">
        <is>
          <t xml:space="preserve">17.4 </t>
        </is>
      </c>
      <c r="Q7" s="1" t="n"/>
      <c r="R7" s="15" t="n">
        <v>139628</v>
      </c>
      <c r="S7" s="1" t="n"/>
      <c r="T7" s="1" t="inlineStr">
        <is>
          <t xml:space="preserve">17.4 </t>
        </is>
      </c>
      <c r="U7" s="1" t="n"/>
    </row>
    <row r="8">
      <c r="B8" s="1" t="n"/>
      <c r="C8" s="1" t="n"/>
      <c r="D8" s="1" t="n"/>
      <c r="E8" s="17" t="n"/>
      <c r="F8" s="17" t="n"/>
      <c r="G8" s="17" t="n"/>
      <c r="H8" s="17" t="n"/>
      <c r="I8" s="17" t="n"/>
      <c r="J8" s="17" t="n"/>
      <c r="K8" s="17" t="n"/>
      <c r="L8" s="17" t="n"/>
      <c r="M8" s="17" t="n"/>
      <c r="N8" s="17" t="n"/>
      <c r="O8" s="17" t="n"/>
      <c r="P8" s="17" t="n"/>
      <c r="Q8" s="1" t="n"/>
      <c r="R8" s="1" t="n"/>
      <c r="S8" s="1" t="n"/>
      <c r="T8" s="1" t="n"/>
      <c r="U8" s="1" t="n"/>
    </row>
    <row r="9">
      <c r="B9" s="1" t="n"/>
      <c r="C9" s="1" t="n"/>
      <c r="D9" s="1" t="n"/>
      <c r="E9" s="17" t="n"/>
      <c r="F9" s="17" t="n"/>
      <c r="G9" s="17" t="n"/>
      <c r="H9" s="17" t="n"/>
      <c r="I9" s="17" t="n"/>
      <c r="J9" s="17" t="n"/>
      <c r="K9" s="17" t="n"/>
      <c r="L9" s="17" t="n"/>
      <c r="M9" s="17" t="n"/>
      <c r="N9" s="17" t="n"/>
      <c r="O9" s="17" t="n"/>
      <c r="P9" s="17" t="n"/>
      <c r="Q9" s="1" t="n"/>
      <c r="R9" s="1" t="n"/>
      <c r="S9" s="1" t="n"/>
      <c r="T9" s="1" t="n"/>
      <c r="U9" s="1" t="n"/>
    </row>
    <row r="10">
      <c r="B10" s="1" t="n"/>
      <c r="C10" s="1" t="n"/>
      <c r="D10" s="1" t="n"/>
      <c r="E10" s="17" t="n"/>
      <c r="F10" s="17" t="n"/>
      <c r="G10" s="17" t="n"/>
      <c r="H10" s="17" t="n"/>
      <c r="I10" s="17" t="n"/>
      <c r="J10" s="17" t="n"/>
      <c r="K10" s="17" t="n"/>
      <c r="L10" s="17" t="n"/>
      <c r="M10" s="17" t="n"/>
      <c r="N10" s="17" t="n"/>
      <c r="O10" s="17" t="n"/>
      <c r="P10" s="17" t="n"/>
      <c r="Q10" s="1" t="n"/>
      <c r="R10" s="1" t="n"/>
      <c r="S10" s="1" t="n"/>
      <c r="T10" s="1" t="n"/>
      <c r="U10" s="1" t="n"/>
    </row>
    <row r="11">
      <c r="B11" s="1" t="n"/>
      <c r="C11" s="1" t="n"/>
      <c r="D11" s="1" t="n"/>
      <c r="E11" s="17" t="n"/>
      <c r="F11" s="17" t="n"/>
      <c r="G11" s="17" t="n"/>
      <c r="H11" s="17" t="n"/>
      <c r="I11" s="17" t="n"/>
      <c r="J11" s="17" t="n"/>
      <c r="K11" s="17" t="n"/>
      <c r="L11" s="17" t="n"/>
      <c r="M11" s="17" t="n"/>
      <c r="N11" s="17" t="n"/>
      <c r="O11" s="17" t="n"/>
      <c r="P11" s="17" t="n"/>
      <c r="Q11" s="1" t="n"/>
      <c r="R11" s="1" t="n"/>
      <c r="S11" s="1" t="n"/>
      <c r="T11" s="1" t="n"/>
      <c r="U11" s="1" t="n"/>
    </row>
    <row r="12">
      <c r="B12" s="1" t="n"/>
      <c r="C12" s="1" t="n"/>
      <c r="D12" s="1" t="n"/>
      <c r="E12" s="17" t="n"/>
      <c r="F12" s="17" t="n"/>
      <c r="G12" s="17" t="n"/>
      <c r="H12" s="17" t="n"/>
      <c r="I12" s="17" t="n"/>
      <c r="J12" s="17" t="n"/>
      <c r="K12" s="17" t="n"/>
      <c r="L12" s="17" t="n"/>
      <c r="M12" s="17" t="n"/>
      <c r="N12" s="17" t="n"/>
      <c r="O12" s="17" t="n"/>
      <c r="P12" s="17" t="n"/>
      <c r="Q12" s="1" t="n"/>
      <c r="R12" s="1" t="n"/>
      <c r="S12" s="1" t="n"/>
      <c r="T12" s="1" t="n"/>
      <c r="U12" s="1" t="n"/>
    </row>
    <row r="13">
      <c r="B13" s="1" t="n"/>
      <c r="C13" s="1" t="n"/>
      <c r="D13" s="1" t="n"/>
      <c r="E13" s="17" t="n"/>
      <c r="F13" s="17" t="n"/>
      <c r="G13" s="17" t="n"/>
      <c r="H13" s="17" t="n"/>
      <c r="I13" s="17" t="n"/>
      <c r="J13" s="17" t="n"/>
      <c r="K13" s="17" t="n"/>
      <c r="L13" s="17" t="n"/>
      <c r="M13" s="17" t="n"/>
      <c r="N13" s="17" t="n"/>
      <c r="O13" s="17" t="n"/>
      <c r="P13" s="17" t="n"/>
      <c r="Q13" s="1" t="n"/>
      <c r="R13" s="1" t="n"/>
      <c r="S13" s="1" t="n"/>
      <c r="T13" s="1" t="n"/>
      <c r="U13" s="1" t="n"/>
    </row>
    <row r="14">
      <c r="B14" s="1" t="n"/>
      <c r="C14" s="1" t="n"/>
      <c r="D14" s="1" t="n"/>
      <c r="E14" s="17" t="n"/>
      <c r="F14" s="17" t="n"/>
      <c r="G14" s="17" t="n"/>
      <c r="H14" s="17" t="n"/>
      <c r="I14" s="17" t="n"/>
      <c r="J14" s="17" t="n"/>
      <c r="K14" s="17" t="n"/>
      <c r="L14" s="17" t="n"/>
      <c r="M14" s="17" t="n"/>
      <c r="N14" s="17" t="n"/>
      <c r="O14" s="17" t="n"/>
      <c r="P14" s="17" t="n"/>
      <c r="Q14" s="1" t="n"/>
      <c r="R14" s="1" t="n"/>
      <c r="S14" s="1" t="n"/>
      <c r="T14" s="1" t="n"/>
      <c r="U14" s="1" t="n"/>
    </row>
    <row r="15">
      <c r="B15" s="1" t="n"/>
      <c r="C15" s="1" t="n"/>
      <c r="D15" s="1" t="n"/>
      <c r="E15" s="17" t="n"/>
      <c r="F15" s="17" t="n"/>
      <c r="G15" s="17" t="n"/>
      <c r="H15" s="17" t="n"/>
      <c r="I15" s="17" t="n"/>
      <c r="J15" s="17" t="n"/>
      <c r="K15" s="17" t="n"/>
      <c r="L15" s="17" t="n"/>
      <c r="M15" s="17" t="n"/>
      <c r="N15" s="17" t="n"/>
      <c r="O15" s="17" t="n"/>
      <c r="P15" s="17" t="n"/>
      <c r="Q15" s="1" t="n"/>
      <c r="R15" s="1" t="n"/>
      <c r="S15" s="1" t="n"/>
      <c r="T15" s="1" t="n"/>
      <c r="U15" s="1" t="n"/>
    </row>
    <row r="16">
      <c r="B16" s="1" t="n"/>
      <c r="C16" s="1" t="n"/>
      <c r="D16" s="1" t="n"/>
      <c r="E16" s="17" t="n"/>
      <c r="F16" s="17" t="n"/>
      <c r="G16" s="17" t="n"/>
      <c r="H16" s="17" t="n"/>
      <c r="I16" s="17" t="n"/>
      <c r="J16" s="17" t="n"/>
      <c r="K16" s="17" t="n"/>
      <c r="L16" s="17" t="n"/>
      <c r="M16" s="17" t="n"/>
      <c r="N16" s="17" t="n"/>
      <c r="O16" s="17" t="n"/>
      <c r="P16" s="17" t="n"/>
      <c r="Q16" s="1" t="n"/>
      <c r="R16" s="1" t="n"/>
      <c r="S16" s="1" t="n"/>
      <c r="T16" s="1" t="n"/>
      <c r="U16" s="1" t="n"/>
    </row>
    <row r="17">
      <c r="B17" s="1" t="n"/>
      <c r="C17" s="1" t="n"/>
      <c r="D17" s="1" t="n"/>
      <c r="E17" s="17" t="n"/>
      <c r="F17" s="17" t="n"/>
      <c r="G17" s="17" t="n"/>
      <c r="H17" s="17" t="n"/>
      <c r="I17" s="17" t="n"/>
      <c r="J17" s="17" t="n"/>
      <c r="K17" s="17" t="n"/>
      <c r="L17" s="17" t="n"/>
      <c r="M17" s="17" t="n"/>
      <c r="N17" s="17" t="n"/>
      <c r="O17" s="17" t="n"/>
      <c r="P17" s="17" t="n"/>
      <c r="Q17" s="1" t="n"/>
      <c r="R17" s="1" t="n"/>
      <c r="S17" s="1" t="n"/>
      <c r="T17" s="1" t="n"/>
      <c r="U17" s="1" t="n"/>
    </row>
    <row r="18">
      <c r="B18" s="1" t="n"/>
      <c r="C18" s="1" t="n"/>
      <c r="D18" s="1" t="n"/>
      <c r="E18" s="17" t="n"/>
      <c r="F18" s="17" t="n"/>
      <c r="G18" s="17" t="n"/>
      <c r="H18" s="17" t="n"/>
      <c r="I18" s="17" t="n"/>
      <c r="J18" s="17" t="n"/>
      <c r="K18" s="17" t="n"/>
      <c r="L18" s="17" t="n"/>
      <c r="M18" s="17" t="n"/>
      <c r="N18" s="17" t="n"/>
      <c r="O18" s="17" t="n"/>
      <c r="P18" s="17" t="n"/>
      <c r="Q18" s="1" t="n"/>
      <c r="R18" s="1" t="n"/>
      <c r="S18" s="1" t="n"/>
      <c r="T18" s="1" t="n"/>
      <c r="U18" s="1" t="n"/>
    </row>
    <row r="19">
      <c r="B19" s="1" t="n"/>
      <c r="C19" s="1" t="n"/>
      <c r="D19" s="1" t="n"/>
      <c r="E19" s="17" t="n"/>
      <c r="F19" s="17" t="n"/>
      <c r="G19" s="17" t="n"/>
      <c r="H19" s="17" t="n"/>
      <c r="I19" s="17" t="n"/>
      <c r="J19" s="17" t="n"/>
      <c r="K19" s="17" t="n"/>
      <c r="L19" s="17" t="n"/>
      <c r="M19" s="17" t="n"/>
      <c r="N19" s="17" t="n"/>
      <c r="O19" s="17" t="n"/>
      <c r="P19" s="17" t="n"/>
      <c r="Q19" s="1" t="n"/>
      <c r="R19" s="1" t="n"/>
      <c r="S19" s="1" t="n"/>
      <c r="T19" s="1" t="n"/>
      <c r="U19" s="1" t="n"/>
    </row>
    <row r="20">
      <c r="B20" s="1" t="n"/>
      <c r="C20" s="1" t="n"/>
      <c r="D20" s="1" t="n"/>
      <c r="E20" s="17" t="n"/>
      <c r="F20" s="17" t="n"/>
      <c r="G20" s="17" t="n"/>
      <c r="H20" s="17" t="n"/>
      <c r="I20" s="17" t="n"/>
      <c r="J20" s="17" t="n"/>
      <c r="K20" s="17" t="n"/>
      <c r="L20" s="17" t="n"/>
      <c r="M20" s="17" t="n"/>
      <c r="N20" s="17" t="n"/>
      <c r="O20" s="17" t="n"/>
      <c r="P20" s="17" t="n"/>
      <c r="Q20" s="1" t="n"/>
      <c r="R20" s="1" t="n"/>
      <c r="S20" s="1" t="n"/>
      <c r="T20" s="1" t="n"/>
      <c r="U20" s="1" t="n"/>
    </row>
    <row r="21">
      <c r="B21" s="1" t="n"/>
      <c r="C21" s="1" t="n"/>
      <c r="D21" s="1" t="n"/>
      <c r="E21" s="17" t="n"/>
      <c r="F21" s="17" t="n"/>
      <c r="G21" s="17" t="n"/>
      <c r="H21" s="17" t="n"/>
      <c r="I21" s="17" t="n"/>
      <c r="J21" s="17" t="n"/>
      <c r="K21" s="17" t="n"/>
      <c r="L21" s="17" t="n"/>
      <c r="M21" s="17" t="n"/>
      <c r="N21" s="17" t="n"/>
      <c r="O21" s="17" t="n"/>
      <c r="P21" s="17" t="n"/>
      <c r="Q21" s="1" t="n"/>
      <c r="R21" s="1" t="n"/>
      <c r="S21" s="1" t="n"/>
      <c r="T21" s="1" t="n"/>
      <c r="U21" s="1" t="n"/>
    </row>
    <row r="22">
      <c r="B22" s="1" t="n"/>
      <c r="C22" s="1" t="n"/>
      <c r="D22" s="1" t="n"/>
      <c r="E22" s="17" t="n"/>
      <c r="F22" s="17" t="n"/>
      <c r="G22" s="17" t="n"/>
      <c r="H22" s="17" t="n"/>
      <c r="I22" s="17" t="n"/>
      <c r="J22" s="17" t="n"/>
      <c r="K22" s="17" t="n"/>
      <c r="L22" s="17" t="n"/>
      <c r="M22" s="17" t="n"/>
      <c r="N22" s="17" t="n"/>
      <c r="O22" s="17" t="n"/>
      <c r="P22" s="17" t="n"/>
      <c r="Q22" s="1" t="n"/>
      <c r="R22" s="1" t="n"/>
      <c r="S22" s="1" t="n"/>
      <c r="T22" s="1" t="n"/>
      <c r="U22" s="1" t="n"/>
    </row>
    <row r="23">
      <c r="B23" s="1" t="n"/>
      <c r="C23" s="1" t="n"/>
      <c r="D23" s="1" t="n"/>
      <c r="E23" s="17" t="n"/>
      <c r="F23" s="17" t="n"/>
      <c r="G23" s="17" t="n"/>
      <c r="H23" s="17" t="n"/>
      <c r="I23" s="17" t="n"/>
      <c r="J23" s="17" t="n"/>
      <c r="K23" s="17" t="n"/>
      <c r="L23" s="17" t="n"/>
      <c r="M23" s="17" t="n"/>
      <c r="N23" s="17" t="n"/>
      <c r="O23" s="17" t="n"/>
      <c r="P23" s="17" t="n"/>
      <c r="Q23" s="1" t="n"/>
      <c r="R23" s="1" t="n"/>
      <c r="S23" s="1" t="n"/>
      <c r="T23" s="1" t="n"/>
      <c r="U23" s="1" t="n"/>
    </row>
    <row r="24">
      <c r="B24" s="1" t="n"/>
      <c r="C24" s="1" t="n"/>
      <c r="D24" s="1" t="n"/>
      <c r="E24" s="17" t="n"/>
      <c r="F24" s="17" t="n"/>
      <c r="G24" s="17" t="n"/>
      <c r="H24" s="17" t="n"/>
      <c r="I24" s="17" t="n"/>
      <c r="J24" s="17" t="n"/>
      <c r="K24" s="17" t="n"/>
      <c r="L24" s="17" t="n"/>
      <c r="M24" s="17" t="n"/>
      <c r="N24" s="17" t="n"/>
      <c r="O24" s="17" t="n"/>
      <c r="P24" s="17" t="n"/>
      <c r="Q24" s="1" t="n"/>
      <c r="R24" s="1" t="n"/>
      <c r="S24" s="1" t="n"/>
      <c r="T24" s="1" t="n"/>
      <c r="U24" s="1" t="n"/>
    </row>
    <row r="25">
      <c r="B25" s="1" t="n"/>
      <c r="C25" s="1" t="n"/>
      <c r="D25" s="1" t="n"/>
      <c r="E25" s="17" t="n"/>
      <c r="F25" s="17" t="n"/>
      <c r="G25" s="17" t="n"/>
      <c r="H25" s="17" t="n"/>
      <c r="I25" s="17" t="n"/>
      <c r="J25" s="17" t="n"/>
      <c r="K25" s="17" t="n"/>
      <c r="L25" s="17" t="n"/>
      <c r="M25" s="17" t="n"/>
      <c r="N25" s="17" t="n"/>
      <c r="O25" s="17" t="n"/>
      <c r="P25" s="17" t="n"/>
      <c r="Q25" s="1" t="n"/>
      <c r="R25" s="1" t="n"/>
      <c r="S25" s="1" t="n"/>
      <c r="T25" s="1" t="n"/>
      <c r="U25" s="1" t="n"/>
    </row>
    <row r="26">
      <c r="B26" s="1" t="n"/>
      <c r="C26" s="1" t="n"/>
      <c r="D26" s="1" t="n"/>
      <c r="E26" s="17" t="n"/>
      <c r="F26" s="17" t="n"/>
      <c r="G26" s="17" t="n"/>
      <c r="H26" s="17" t="n"/>
      <c r="I26" s="17" t="n"/>
      <c r="J26" s="17" t="n"/>
      <c r="K26" s="17" t="n"/>
      <c r="L26" s="17" t="n"/>
      <c r="M26" s="17" t="n"/>
      <c r="N26" s="17" t="n"/>
      <c r="O26" s="17" t="n"/>
      <c r="P26" s="17" t="n"/>
      <c r="Q26" s="1" t="n"/>
      <c r="R26" s="1" t="n"/>
      <c r="S26" s="1" t="n"/>
      <c r="T26" s="1" t="n"/>
      <c r="U26" s="1" t="n"/>
    </row>
    <row r="27">
      <c r="B27" s="1" t="n"/>
      <c r="C27" s="1" t="n"/>
      <c r="D27" s="1" t="n"/>
      <c r="E27" s="17" t="n"/>
      <c r="F27" s="17" t="n"/>
      <c r="G27" s="17" t="n"/>
      <c r="H27" s="17" t="n"/>
      <c r="I27" s="17" t="n"/>
      <c r="J27" s="17" t="n"/>
      <c r="K27" s="17" t="n"/>
      <c r="L27" s="17" t="n"/>
      <c r="M27" s="17" t="n"/>
      <c r="N27" s="17" t="n"/>
      <c r="O27" s="17" t="n"/>
      <c r="P27" s="17" t="n"/>
      <c r="Q27" s="1" t="n"/>
      <c r="R27" s="1" t="n"/>
      <c r="S27" s="1" t="n"/>
      <c r="T27" s="1" t="n"/>
      <c r="U27" s="1" t="n"/>
    </row>
    <row r="28">
      <c r="B28" s="1" t="n"/>
      <c r="C28" s="1" t="n"/>
      <c r="D28" s="1" t="n"/>
      <c r="E28" s="17" t="n"/>
      <c r="F28" s="17" t="n"/>
      <c r="G28" s="17" t="n"/>
      <c r="H28" s="17" t="n"/>
      <c r="I28" s="17" t="n"/>
      <c r="J28" s="17" t="n"/>
      <c r="K28" s="17" t="n"/>
      <c r="L28" s="17" t="n"/>
      <c r="M28" s="17" t="n"/>
      <c r="N28" s="17" t="n"/>
      <c r="O28" s="17" t="n"/>
      <c r="P28" s="17" t="n"/>
      <c r="Q28" s="1" t="n"/>
      <c r="R28" s="1" t="n"/>
      <c r="S28" s="1" t="n"/>
      <c r="T28" s="1" t="n"/>
      <c r="U28" s="1" t="n"/>
    </row>
    <row r="29">
      <c r="B29" s="1" t="n"/>
      <c r="C29" s="1" t="n"/>
      <c r="D29" s="1" t="n"/>
      <c r="E29" s="17" t="n"/>
      <c r="F29" s="17" t="n"/>
      <c r="G29" s="17" t="n"/>
      <c r="H29" s="17" t="n"/>
      <c r="I29" s="17" t="n"/>
      <c r="J29" s="17" t="n"/>
      <c r="K29" s="17" t="n"/>
      <c r="L29" s="17" t="n"/>
      <c r="M29" s="17" t="n"/>
      <c r="N29" s="17" t="n"/>
      <c r="O29" s="17" t="n"/>
      <c r="P29" s="17" t="n"/>
      <c r="Q29" s="1" t="n"/>
      <c r="R29" s="1" t="n"/>
      <c r="S29" s="1" t="n"/>
      <c r="T29" s="1" t="n"/>
      <c r="U29" s="1" t="n"/>
    </row>
    <row r="30">
      <c r="B30" s="1" t="n"/>
      <c r="C30" s="1" t="n"/>
      <c r="D30" s="1" t="n"/>
      <c r="E30" s="17" t="n"/>
      <c r="F30" s="17" t="n"/>
      <c r="G30" s="17" t="n"/>
      <c r="H30" s="17" t="n"/>
      <c r="I30" s="17" t="n"/>
      <c r="J30" s="17" t="n"/>
      <c r="K30" s="17" t="n"/>
      <c r="L30" s="17" t="n"/>
      <c r="M30" s="17" t="n"/>
      <c r="N30" s="17" t="n"/>
      <c r="O30" s="17" t="n"/>
      <c r="P30" s="17" t="n"/>
      <c r="Q30" s="1" t="n"/>
      <c r="R30" s="1" t="n"/>
      <c r="S30" s="1" t="n"/>
      <c r="T30" s="1" t="n"/>
      <c r="U30" s="1" t="n"/>
    </row>
    <row r="31">
      <c r="B31" s="1" t="n"/>
      <c r="C31" s="1" t="n"/>
      <c r="D31" s="1" t="n"/>
      <c r="E31" s="17" t="n"/>
      <c r="F31" s="17" t="n"/>
      <c r="G31" s="17" t="n"/>
      <c r="H31" s="17" t="n"/>
      <c r="I31" s="17" t="n"/>
      <c r="J31" s="17" t="n"/>
      <c r="K31" s="17" t="n"/>
      <c r="L31" s="17" t="n"/>
      <c r="M31" s="17" t="n"/>
      <c r="N31" s="17" t="n"/>
      <c r="O31" s="17" t="n"/>
      <c r="P31" s="17" t="n"/>
      <c r="Q31" s="1" t="n"/>
      <c r="R31" s="1" t="n"/>
      <c r="S31" s="1" t="n"/>
      <c r="T31" s="1" t="n"/>
      <c r="U31" s="1" t="n"/>
    </row>
    <row r="32">
      <c r="B32" s="1" t="n"/>
      <c r="C32" s="1" t="n"/>
      <c r="D32" s="1" t="n"/>
      <c r="E32" s="17" t="n"/>
      <c r="F32" s="17" t="n"/>
      <c r="G32" s="17" t="n"/>
      <c r="H32" s="17" t="n"/>
      <c r="I32" s="17" t="n"/>
      <c r="J32" s="17" t="n"/>
      <c r="K32" s="17" t="n"/>
      <c r="L32" s="17" t="n"/>
      <c r="M32" s="17" t="n"/>
      <c r="N32" s="17" t="n"/>
      <c r="O32" s="17" t="n"/>
      <c r="P32" s="17" t="n"/>
      <c r="Q32" s="1" t="n"/>
      <c r="R32" s="1" t="n"/>
      <c r="S32" s="1" t="n"/>
      <c r="T32" s="1" t="n"/>
      <c r="U32" s="1" t="n"/>
    </row>
    <row r="33">
      <c r="B33" s="1" t="n"/>
      <c r="C33" s="1" t="n"/>
      <c r="D33" s="1" t="n"/>
      <c r="E33" s="17" t="n"/>
      <c r="F33" s="17" t="n"/>
      <c r="G33" s="17" t="n"/>
      <c r="H33" s="17" t="n"/>
      <c r="I33" s="17" t="n"/>
      <c r="J33" s="17" t="n"/>
      <c r="K33" s="17" t="n"/>
      <c r="L33" s="17" t="n"/>
      <c r="M33" s="17" t="n"/>
      <c r="N33" s="17" t="n"/>
      <c r="O33" s="17" t="n"/>
      <c r="P33" s="17" t="n"/>
      <c r="Q33" s="1" t="n"/>
      <c r="R33" s="1" t="n"/>
      <c r="S33" s="1" t="n"/>
      <c r="T33" s="1" t="n"/>
      <c r="U33" s="1" t="n"/>
    </row>
    <row r="34">
      <c r="B34" s="1" t="n"/>
      <c r="C34" s="1" t="n"/>
      <c r="D34" s="1" t="n"/>
      <c r="E34" s="17" t="n"/>
      <c r="F34" s="17" t="n"/>
      <c r="G34" s="17" t="n"/>
      <c r="H34" s="17" t="n"/>
      <c r="I34" s="17" t="n"/>
      <c r="J34" s="17" t="n"/>
      <c r="K34" s="17" t="n"/>
      <c r="L34" s="17" t="n"/>
      <c r="M34" s="17" t="n"/>
      <c r="N34" s="17" t="n"/>
      <c r="O34" s="17" t="n"/>
      <c r="P34" s="17" t="n"/>
      <c r="Q34" s="1" t="n"/>
      <c r="R34" s="1" t="n"/>
      <c r="S34" s="1" t="n"/>
      <c r="T34" s="1" t="n"/>
      <c r="U34" s="1" t="n"/>
    </row>
    <row r="35">
      <c r="B35" s="1" t="n"/>
      <c r="C35" s="1" t="n"/>
      <c r="D35" s="1" t="n"/>
      <c r="E35" s="17" t="n"/>
      <c r="F35" s="17" t="n"/>
      <c r="G35" s="17" t="n"/>
      <c r="H35" s="17" t="n"/>
      <c r="I35" s="17" t="n"/>
      <c r="J35" s="17" t="n"/>
      <c r="K35" s="17" t="n"/>
      <c r="L35" s="17" t="n"/>
      <c r="M35" s="17" t="n"/>
      <c r="N35" s="17" t="n"/>
      <c r="O35" s="17" t="n"/>
      <c r="P35" s="17" t="n"/>
      <c r="Q35" s="1" t="n"/>
      <c r="R35" s="1" t="n"/>
      <c r="S35" s="1" t="n"/>
      <c r="T35" s="1" t="n"/>
      <c r="U35" s="1" t="n"/>
    </row>
    <row r="36">
      <c r="B36" s="1" t="n"/>
      <c r="C36" s="1" t="n"/>
      <c r="D36" s="1" t="n"/>
      <c r="E36" s="17" t="n"/>
      <c r="F36" s="17" t="n"/>
      <c r="G36" s="17" t="n"/>
      <c r="H36" s="17" t="n"/>
      <c r="I36" s="17" t="n"/>
      <c r="J36" s="17" t="n"/>
      <c r="K36" s="17" t="n"/>
      <c r="L36" s="17" t="n"/>
      <c r="M36" s="17" t="n"/>
      <c r="N36" s="17" t="n"/>
      <c r="O36" s="17" t="n"/>
      <c r="P36" s="17" t="n"/>
      <c r="Q36" s="1" t="n"/>
      <c r="R36" s="1" t="n"/>
      <c r="S36" s="1" t="n"/>
      <c r="T36" s="1" t="n"/>
      <c r="U36" s="1" t="n"/>
    </row>
    <row r="37">
      <c r="B37" s="1" t="n"/>
      <c r="C37" s="1" t="n"/>
      <c r="D37" s="1" t="n"/>
      <c r="E37" s="17" t="n"/>
      <c r="F37" s="17" t="n"/>
      <c r="G37" s="17" t="n"/>
      <c r="H37" s="17" t="n"/>
      <c r="I37" s="17" t="n"/>
      <c r="J37" s="17" t="n"/>
      <c r="K37" s="17" t="n"/>
      <c r="L37" s="17" t="n"/>
      <c r="M37" s="17" t="n"/>
      <c r="N37" s="17" t="n"/>
      <c r="O37" s="17" t="n"/>
      <c r="P37" s="17" t="n"/>
      <c r="Q37" s="1" t="n"/>
      <c r="R37" s="1" t="n"/>
      <c r="S37" s="1" t="n"/>
      <c r="T37" s="1" t="n"/>
      <c r="U37" s="1" t="n"/>
    </row>
    <row r="38">
      <c r="B38" s="1" t="n"/>
      <c r="C38" s="1" t="n"/>
      <c r="D38" s="1" t="n"/>
      <c r="E38" s="17" t="n"/>
      <c r="F38" s="17" t="n"/>
      <c r="G38" s="17" t="n"/>
      <c r="H38" s="17" t="n"/>
      <c r="I38" s="17" t="n"/>
      <c r="J38" s="17" t="n"/>
      <c r="K38" s="17" t="n"/>
      <c r="L38" s="17" t="n"/>
      <c r="M38" s="17" t="n"/>
      <c r="N38" s="17" t="n"/>
      <c r="O38" s="17" t="n"/>
      <c r="P38" s="17" t="n"/>
      <c r="Q38" s="1" t="n"/>
      <c r="R38" s="1" t="n"/>
      <c r="S38" s="1" t="n"/>
      <c r="T38" s="1" t="n"/>
      <c r="U38" s="1" t="n"/>
    </row>
    <row r="39">
      <c r="B39" s="1" t="n"/>
      <c r="C39" s="1" t="n"/>
      <c r="D39" s="1" t="n"/>
      <c r="E39" s="17" t="n"/>
      <c r="F39" s="17" t="n"/>
      <c r="G39" s="17" t="n"/>
      <c r="H39" s="17" t="n"/>
      <c r="I39" s="17" t="n"/>
      <c r="J39" s="17" t="n"/>
      <c r="K39" s="17" t="n"/>
      <c r="L39" s="17" t="n"/>
      <c r="M39" s="17" t="n"/>
      <c r="N39" s="17" t="n"/>
      <c r="O39" s="17" t="n"/>
      <c r="P39" s="17" t="n"/>
      <c r="Q39" s="1" t="n"/>
      <c r="R39" s="1" t="n"/>
      <c r="S39" s="1" t="n"/>
      <c r="T39" s="1" t="n"/>
      <c r="U39" s="1" t="n"/>
    </row>
    <row r="40">
      <c r="B40" s="1" t="n"/>
      <c r="C40" s="1" t="n"/>
      <c r="D40" s="1" t="n"/>
      <c r="E40" s="17" t="n"/>
      <c r="F40" s="17" t="n"/>
      <c r="G40" s="17" t="n"/>
      <c r="H40" s="17" t="n"/>
      <c r="I40" s="17" t="n"/>
      <c r="J40" s="17" t="n"/>
      <c r="K40" s="17" t="n"/>
      <c r="L40" s="17" t="n"/>
      <c r="M40" s="17" t="n"/>
      <c r="N40" s="17" t="n"/>
      <c r="O40" s="17" t="n"/>
      <c r="P40" s="17" t="n"/>
      <c r="Q40" s="1" t="n"/>
      <c r="R40" s="1" t="n"/>
      <c r="S40" s="1" t="n"/>
      <c r="T40" s="1" t="n"/>
      <c r="U40" s="1" t="n"/>
    </row>
    <row r="41">
      <c r="B41" s="1" t="n"/>
      <c r="C41" s="1" t="n"/>
      <c r="D41" s="1" t="n"/>
      <c r="E41" s="17" t="n"/>
      <c r="F41" s="17" t="n"/>
      <c r="G41" s="17" t="n"/>
      <c r="H41" s="17" t="n"/>
      <c r="I41" s="17" t="n"/>
      <c r="J41" s="17" t="n"/>
      <c r="K41" s="17" t="n"/>
      <c r="L41" s="17" t="n"/>
      <c r="M41" s="17" t="n"/>
      <c r="N41" s="17" t="n"/>
      <c r="O41" s="17" t="n"/>
      <c r="P41" s="17" t="n"/>
      <c r="Q41" s="1" t="n"/>
      <c r="R41" s="1" t="n"/>
      <c r="S41" s="1" t="n"/>
      <c r="T41" s="1" t="n"/>
      <c r="U41" s="1" t="n"/>
    </row>
    <row r="42">
      <c r="B42" s="1" t="n"/>
      <c r="C42" s="1" t="n"/>
      <c r="D42" s="1" t="n"/>
      <c r="E42" s="17" t="n"/>
      <c r="F42" s="17" t="n"/>
      <c r="G42" s="17" t="n"/>
      <c r="H42" s="17" t="n"/>
      <c r="I42" s="17" t="n"/>
      <c r="J42" s="17" t="n"/>
      <c r="K42" s="17" t="n"/>
      <c r="L42" s="17" t="n"/>
      <c r="M42" s="17" t="n"/>
      <c r="N42" s="17" t="n"/>
      <c r="O42" s="17" t="n"/>
      <c r="P42" s="17" t="n"/>
      <c r="Q42" s="1" t="n"/>
      <c r="R42" s="1" t="n"/>
      <c r="S42" s="1" t="n"/>
      <c r="T42" s="1" t="n"/>
      <c r="U42" s="1" t="n"/>
    </row>
    <row r="43">
      <c r="B43" s="1" t="n"/>
      <c r="C43" s="1" t="n"/>
      <c r="D43" s="1" t="n"/>
      <c r="E43" s="17" t="n"/>
      <c r="F43" s="17" t="n"/>
      <c r="G43" s="17" t="n"/>
      <c r="H43" s="17" t="n"/>
      <c r="I43" s="17" t="n"/>
      <c r="J43" s="17" t="n"/>
      <c r="K43" s="17" t="n"/>
      <c r="L43" s="17" t="n"/>
      <c r="M43" s="17" t="n"/>
      <c r="N43" s="17" t="n"/>
      <c r="O43" s="17" t="n"/>
      <c r="P43" s="17" t="n"/>
      <c r="Q43" s="1" t="n"/>
      <c r="R43" s="1" t="n"/>
      <c r="S43" s="1" t="n"/>
      <c r="T43" s="1" t="n"/>
      <c r="U43" s="1" t="n"/>
    </row>
    <row r="44">
      <c r="B44" s="1" t="n"/>
      <c r="C44" s="1" t="n"/>
      <c r="D44" s="1" t="n"/>
      <c r="E44" s="17" t="n"/>
      <c r="F44" s="17" t="n"/>
      <c r="G44" s="17" t="n"/>
      <c r="H44" s="17" t="n"/>
      <c r="I44" s="17" t="n"/>
      <c r="J44" s="17" t="n"/>
      <c r="K44" s="17" t="n"/>
      <c r="L44" s="17" t="n"/>
      <c r="M44" s="17" t="n"/>
      <c r="N44" s="17" t="n"/>
      <c r="O44" s="17" t="n"/>
      <c r="P44" s="17" t="n"/>
      <c r="Q44" s="1" t="n"/>
      <c r="R44" s="1" t="n"/>
      <c r="S44" s="1" t="n"/>
      <c r="T44" s="1" t="n"/>
      <c r="U44" s="1" t="n"/>
    </row>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3.xml><?xml version="1.0" encoding="utf-8"?>
<worksheet xmlns="http://schemas.openxmlformats.org/spreadsheetml/2006/main">
  <sheetPr>
    <tabColor rgb="FF0000FF"/>
    <outlinePr summaryBelow="1" summaryRight="1"/>
    <pageSetUpPr/>
  </sheetPr>
  <dimension ref="A1:AB200"/>
  <sheetViews>
    <sheetView topLeftCell="W1" zoomScale="98" workbookViewId="0">
      <selection activeCell="AA13" sqref="AA13"/>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Chronology Info</t>
        </is>
      </c>
      <c r="AA1" s="8" t="inlineStr">
        <is>
          <t>Method</t>
        </is>
      </c>
      <c r="AB1" s="8" t="inlineStr">
        <is>
          <t>Elevation (m)</t>
        </is>
      </c>
    </row>
    <row r="2" ht="17" customHeight="1" s="29">
      <c r="A2" s="9" t="inlineStr">
        <is>
          <t>ODP1148</t>
        </is>
      </c>
      <c r="B2" s="12" t="n">
        <v>116.566</v>
      </c>
      <c r="C2" s="12" t="n">
        <v>18.836</v>
      </c>
      <c r="D2" s="10" t="inlineStr">
        <is>
          <t>UK37</t>
        </is>
      </c>
      <c r="E2" s="6" t="n"/>
      <c r="F2" s="6" t="n"/>
      <c r="G2" s="6" t="n"/>
      <c r="M2" s="14" t="n"/>
      <c r="N2" s="11" t="n">
        <v>1499</v>
      </c>
      <c r="O2" s="11" t="inlineStr">
        <is>
          <t xml:space="preserve">0.924 </t>
        </is>
      </c>
      <c r="P2" s="6" t="inlineStr">
        <is>
          <t xml:space="preserve">26.7 </t>
        </is>
      </c>
      <c r="R2" s="19" t="n">
        <v>115040</v>
      </c>
      <c r="T2" s="6" t="inlineStr">
        <is>
          <t xml:space="preserve">26.7 </t>
        </is>
      </c>
      <c r="V2" s="6" t="inlineStr">
        <is>
          <t>Li, D., M. Zhao, and J. Tian. 2017. Low-high latitude interaction forcing on the evolution of the 400 kyr cycle in East Asian winter monsoon records during the last 2.8 Myr. Quaternary Science Reviews, 172, 72-82. doi: 10.1016/j.quascirev.2017.08.005</t>
        </is>
      </c>
      <c r="W2" s="13" t="inlineStr">
        <is>
          <t>https://www.ncei.noaa.gov/pub/data/paleo/contributions_by_author/li2017/li2017.txt</t>
        </is>
      </c>
      <c r="Y2" s="6" t="inlineStr">
        <is>
          <t>UK37 calculated after Prahl and Wakeham (1987), UK37 SST reconstruction calculated after Mueller et al.(1998)</t>
        </is>
      </c>
      <c r="AB2" t="n">
        <v>-3296</v>
      </c>
    </row>
    <row r="3" ht="17" customHeight="1" s="29">
      <c r="E3" s="6" t="n"/>
      <c r="F3" s="6" t="n"/>
      <c r="G3" s="6" t="n"/>
      <c r="M3" s="14" t="n"/>
      <c r="N3" s="11" t="n">
        <v>1551</v>
      </c>
      <c r="O3" s="11" t="inlineStr">
        <is>
          <t xml:space="preserve">0.970 </t>
        </is>
      </c>
      <c r="P3" s="6" t="inlineStr">
        <is>
          <t xml:space="preserve">28.1 </t>
        </is>
      </c>
      <c r="R3" s="15" t="n">
        <v>119200</v>
      </c>
      <c r="T3" s="6" t="inlineStr">
        <is>
          <t xml:space="preserve">28.1 </t>
        </is>
      </c>
    </row>
    <row r="4" ht="17" customHeight="1" s="29">
      <c r="E4" s="6" t="n"/>
      <c r="F4" s="6" t="n"/>
      <c r="G4" s="6" t="n"/>
      <c r="M4" s="14" t="n"/>
      <c r="N4" s="11" t="n">
        <v>1601</v>
      </c>
      <c r="O4" s="11" t="inlineStr">
        <is>
          <t xml:space="preserve">0.955 </t>
        </is>
      </c>
      <c r="P4" s="6" t="inlineStr">
        <is>
          <t xml:space="preserve">27.6 </t>
        </is>
      </c>
      <c r="R4" s="15" t="n">
        <v>123200</v>
      </c>
      <c r="T4" s="6" t="inlineStr">
        <is>
          <t xml:space="preserve">27.6 </t>
        </is>
      </c>
    </row>
    <row r="5" ht="17" customHeight="1" s="29">
      <c r="E5" s="6" t="n"/>
      <c r="F5" s="6" t="n"/>
      <c r="G5" s="6" t="n"/>
      <c r="M5" s="14" t="n"/>
      <c r="N5" s="11" t="n">
        <v>1651</v>
      </c>
      <c r="O5" s="11" t="inlineStr">
        <is>
          <t xml:space="preserve">0.874 </t>
        </is>
      </c>
      <c r="P5" s="6" t="inlineStr">
        <is>
          <t xml:space="preserve">25.2 </t>
        </is>
      </c>
      <c r="R5" s="15" t="n">
        <v>128465</v>
      </c>
      <c r="T5" s="6" t="inlineStr">
        <is>
          <t xml:space="preserve">25.2 </t>
        </is>
      </c>
    </row>
    <row r="6" ht="17" customHeight="1" s="29">
      <c r="M6" s="14" t="n"/>
      <c r="N6" s="11" t="n">
        <v>1701</v>
      </c>
      <c r="O6" s="11" t="inlineStr">
        <is>
          <t xml:space="preserve">0.824 </t>
        </is>
      </c>
      <c r="P6" s="6" t="inlineStr">
        <is>
          <t xml:space="preserve">23.6 </t>
        </is>
      </c>
      <c r="R6" s="15" t="n">
        <v>134047</v>
      </c>
      <c r="T6" s="6" t="inlineStr">
        <is>
          <t xml:space="preserve">23.6 </t>
        </is>
      </c>
    </row>
    <row r="7" ht="17" customHeight="1" s="29">
      <c r="M7" s="14" t="n"/>
      <c r="N7" s="11" t="n">
        <v>1751</v>
      </c>
      <c r="O7" s="11" t="inlineStr">
        <is>
          <t xml:space="preserve">0.842 </t>
        </is>
      </c>
      <c r="P7" s="6" t="inlineStr">
        <is>
          <t xml:space="preserve">24.2 </t>
        </is>
      </c>
      <c r="R7" s="15" t="n">
        <v>139628</v>
      </c>
      <c r="T7" s="6" t="inlineStr">
        <is>
          <t xml:space="preserve">24.2 </t>
        </is>
      </c>
    </row>
    <row r="8"/>
    <row r="9">
      <c r="O9" s="6" t="n"/>
      <c r="P9" s="6" t="n"/>
    </row>
    <row r="10">
      <c r="O10" s="6" t="n"/>
      <c r="P10" s="6" t="n"/>
    </row>
    <row r="11">
      <c r="O11" s="6" t="n"/>
      <c r="P11" s="6" t="n"/>
    </row>
    <row r="12">
      <c r="O12" s="6" t="n"/>
      <c r="P12" s="6" t="n"/>
    </row>
    <row r="13">
      <c r="O13" s="6" t="n"/>
      <c r="P13" s="6" t="n"/>
    </row>
    <row r="14">
      <c r="O14" s="6" t="n"/>
      <c r="P14" s="6" t="n"/>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4.xml><?xml version="1.0" encoding="utf-8"?>
<worksheet xmlns="http://schemas.openxmlformats.org/spreadsheetml/2006/main">
  <sheetPr>
    <tabColor rgb="FF0000FF"/>
    <outlinePr summaryBelow="1" summaryRight="1"/>
    <pageSetUpPr/>
  </sheetPr>
  <dimension ref="A1:Z200"/>
  <sheetViews>
    <sheetView zoomScale="75" workbookViewId="0">
      <selection activeCell="Z1" sqref="V1:Z1"/>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ht="17" customHeight="1" s="29">
      <c r="A2" s="9" t="inlineStr">
        <is>
          <t>IODP-U1446</t>
        </is>
      </c>
      <c r="B2" s="12" t="n">
        <v>85.733</v>
      </c>
      <c r="C2" s="12" t="n">
        <v>19.083</v>
      </c>
      <c r="D2" s="10" t="inlineStr">
        <is>
          <t>MgCa</t>
        </is>
      </c>
      <c r="E2" s="6" t="n"/>
      <c r="F2" s="6" t="n"/>
      <c r="G2" s="6" t="n"/>
      <c r="M2" s="14" t="n"/>
      <c r="N2" t="n">
        <v>29.032</v>
      </c>
      <c r="O2" t="n">
        <v>4.75</v>
      </c>
      <c r="P2" t="n">
        <v>28.23</v>
      </c>
      <c r="R2" s="20" t="n">
        <v>116140</v>
      </c>
      <c r="T2" t="n">
        <v>28.23</v>
      </c>
      <c r="V2" s="6" t="inlineStr">
        <is>
          <t>Clemens, Steven; Yamamoto, Masanobu; Thirumalai, Kaustubh; Giosan, Liviu; Richey, Julie N.; Nilsson-Kerr, Katrina; Rosenthal, Yair; Anand, Pallavi; McGrath, Sarah M. 2021. Remote and Local Drivers of Pleistocene South Asian Summer Monsoon Precipitation: A Test for Future Predictions. Science Advances, 7(23), eabg3848. doi: 10.1126/sciadv.abg3848</t>
        </is>
      </c>
      <c r="W2" s="13" t="inlineStr">
        <is>
          <t>https://www.ncei.noaa.gov/pub/data/paleo/contributions_by_author/clemens2021/clemens2021-u1446-mgca-noaa.txt</t>
        </is>
      </c>
      <c r="Y2" s="6" t="inlineStr">
        <is>
          <t>Analytical facility: Kerr (Open Univ.)</t>
        </is>
      </c>
      <c r="Z2" t="n">
        <v>-1440</v>
      </c>
    </row>
    <row r="3" ht="17" customHeight="1" s="29">
      <c r="E3" s="6" t="n"/>
      <c r="F3" s="6" t="n"/>
      <c r="G3" s="6" t="n"/>
      <c r="M3" s="14" t="n"/>
      <c r="N3" t="n">
        <v>29.332</v>
      </c>
      <c r="O3" t="n">
        <v>4.58</v>
      </c>
      <c r="P3" t="n">
        <v>28.3</v>
      </c>
      <c r="R3" s="20" t="n">
        <v>117310</v>
      </c>
      <c r="T3" t="n">
        <v>28.3</v>
      </c>
    </row>
    <row r="4" ht="17" customHeight="1" s="29">
      <c r="E4" s="6" t="n"/>
      <c r="F4" s="6" t="n"/>
      <c r="G4" s="6" t="n"/>
      <c r="M4" s="14" t="n"/>
      <c r="N4" t="n">
        <v>29.632</v>
      </c>
      <c r="O4" t="n">
        <v>4.55</v>
      </c>
      <c r="P4" t="n">
        <v>28.56</v>
      </c>
      <c r="R4" s="20" t="n">
        <v>118480</v>
      </c>
      <c r="T4" t="n">
        <v>28.56</v>
      </c>
    </row>
    <row r="5" ht="17" customHeight="1" s="29">
      <c r="E5" s="6" t="n"/>
      <c r="F5" s="6" t="n"/>
      <c r="G5" s="6" t="n"/>
      <c r="M5" s="14" t="n"/>
      <c r="N5" t="n">
        <v>29.932</v>
      </c>
      <c r="O5" t="n">
        <v>4.61</v>
      </c>
      <c r="P5" t="n">
        <v>28.9</v>
      </c>
      <c r="R5" s="20" t="n">
        <v>119650</v>
      </c>
      <c r="T5" t="n">
        <v>28.9</v>
      </c>
    </row>
    <row r="6" ht="17" customHeight="1" s="29">
      <c r="M6" s="14" t="n"/>
      <c r="N6" t="n">
        <v>30.202</v>
      </c>
      <c r="O6" t="n">
        <v>4.68</v>
      </c>
      <c r="P6" t="n">
        <v>29.08</v>
      </c>
      <c r="R6" s="20" t="n">
        <v>120700</v>
      </c>
      <c r="T6" t="n">
        <v>29.08</v>
      </c>
    </row>
    <row r="7" ht="17" customHeight="1" s="29">
      <c r="M7" s="14" t="n"/>
      <c r="N7" t="n">
        <v>30.552</v>
      </c>
      <c r="O7" t="n">
        <v>4.73</v>
      </c>
      <c r="P7" t="n">
        <v>28.74</v>
      </c>
      <c r="R7" s="20" t="n">
        <v>122060</v>
      </c>
      <c r="T7" t="n">
        <v>28.74</v>
      </c>
    </row>
    <row r="8">
      <c r="N8" t="n">
        <v>30.852</v>
      </c>
      <c r="O8" t="n">
        <v>4.45</v>
      </c>
      <c r="P8" t="n">
        <v>28.89</v>
      </c>
      <c r="R8" s="20" t="n">
        <v>123230</v>
      </c>
      <c r="T8" t="n">
        <v>28.89</v>
      </c>
    </row>
    <row r="9">
      <c r="N9" t="n">
        <v>31.152</v>
      </c>
      <c r="O9" t="n">
        <v>4.55</v>
      </c>
      <c r="P9" t="n">
        <v>26.75</v>
      </c>
      <c r="R9" s="20" t="n">
        <v>124390</v>
      </c>
      <c r="T9" t="n">
        <v>26.75</v>
      </c>
    </row>
    <row r="10">
      <c r="N10" t="n">
        <v>32.327</v>
      </c>
      <c r="O10" t="n">
        <v>4.47</v>
      </c>
      <c r="P10" t="n">
        <v>26.34</v>
      </c>
      <c r="R10" s="20" t="n">
        <v>128970</v>
      </c>
      <c r="T10" t="n">
        <v>26.34</v>
      </c>
    </row>
    <row r="11">
      <c r="N11" t="n">
        <v>32.627</v>
      </c>
      <c r="O11" t="n">
        <v>4.22</v>
      </c>
      <c r="P11" t="n">
        <v>26.29</v>
      </c>
      <c r="R11" s="20" t="n">
        <v>131720</v>
      </c>
      <c r="T11" t="n">
        <v>26.29</v>
      </c>
    </row>
    <row r="12">
      <c r="N12" t="n">
        <v>32.927</v>
      </c>
      <c r="O12" t="n">
        <v>4.04</v>
      </c>
      <c r="P12" t="n">
        <v>25.99</v>
      </c>
      <c r="R12" s="20" t="n">
        <v>134460</v>
      </c>
      <c r="T12" t="n">
        <v>25.99</v>
      </c>
    </row>
    <row r="13">
      <c r="N13" t="n">
        <v>33.237</v>
      </c>
      <c r="O13" t="n">
        <v>4.04</v>
      </c>
      <c r="P13" t="n">
        <v>26.05</v>
      </c>
      <c r="R13" s="20" t="n">
        <v>137300</v>
      </c>
      <c r="T13" t="n">
        <v>26.05</v>
      </c>
    </row>
    <row r="14">
      <c r="N14" t="n">
        <v>33.537</v>
      </c>
      <c r="O14" t="n">
        <v>3.83</v>
      </c>
      <c r="P14" t="n">
        <v>26.08</v>
      </c>
      <c r="R14" s="20" t="n">
        <v>140050</v>
      </c>
      <c r="T14" t="n">
        <v>26.08</v>
      </c>
    </row>
    <row r="15">
      <c r="R15" s="20" t="n"/>
    </row>
    <row r="16">
      <c r="R16" s="20" t="n"/>
    </row>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sheetPr>
    <tabColor rgb="FF0000FF"/>
    <outlinePr summaryBelow="1" summaryRight="1"/>
    <pageSetUpPr/>
  </sheetPr>
  <dimension ref="A1:Z200"/>
  <sheetViews>
    <sheetView zoomScale="75" workbookViewId="0">
      <selection activeCell="O16" sqref="O16"/>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KNR191_CDH19</t>
        </is>
      </c>
      <c r="B2" s="12" t="n">
        <v>-57.57598</v>
      </c>
      <c r="C2" s="12" t="n">
        <v>33.6907</v>
      </c>
      <c r="D2" s="10" t="inlineStr">
        <is>
          <t>UK37</t>
        </is>
      </c>
      <c r="E2" s="6" t="n"/>
      <c r="F2" s="6" t="n"/>
      <c r="G2" s="6" t="n"/>
      <c r="L2" s="21" t="n">
        <v>3292</v>
      </c>
      <c r="M2" t="n">
        <v>3.14</v>
      </c>
      <c r="R2" t="n">
        <v>115060</v>
      </c>
      <c r="T2" t="n">
        <v>21.05</v>
      </c>
      <c r="V2" s="6" t="inlineStr">
        <is>
          <t>L.G. Henry, J.F. McManus, W.B. Curry, N.L. Roberts, A.M. Piotrowski, L.D. Keigwin. 2016. North Atlantic ocean circulation and abrupt climate change during the last glaciation. Science, 353(6298), 470-474. doi: 10.1126/science.aaf5529</t>
        </is>
      </c>
      <c r="W2" s="13" t="inlineStr">
        <is>
          <t>https://www.ncei.noaa.gov/pub/data/paleo/contributions_by_author/henry2016/henry2016sst.txt</t>
        </is>
      </c>
      <c r="X2" s="6" t="inlineStr">
        <is>
          <t>Age model was generated by correlating XRF Ca counts in CDH19 to carbonate measurements made in core MD95-2036.</t>
        </is>
      </c>
      <c r="Z2" t="n">
        <v>-4541</v>
      </c>
    </row>
    <row r="3">
      <c r="E3" s="6" t="n"/>
      <c r="F3" s="6" t="n"/>
      <c r="G3" s="6" t="n"/>
      <c r="L3" s="21" t="n">
        <v>3296</v>
      </c>
      <c r="M3" t="n">
        <v>3.04</v>
      </c>
      <c r="R3" t="n">
        <v>115150</v>
      </c>
      <c r="T3" t="n">
        <v>20.62</v>
      </c>
    </row>
    <row r="4">
      <c r="E4" s="6" t="n"/>
      <c r="F4" s="6" t="n"/>
      <c r="G4" s="6" t="n"/>
      <c r="L4" s="21" t="n">
        <v>3324</v>
      </c>
      <c r="M4" t="n">
        <v>2.97</v>
      </c>
      <c r="R4" t="n">
        <v>115230</v>
      </c>
      <c r="T4" t="n">
        <v>20.58</v>
      </c>
    </row>
    <row r="5">
      <c r="E5" s="6" t="n"/>
      <c r="F5" s="6" t="n"/>
      <c r="G5" s="6" t="n"/>
      <c r="L5" s="21" t="n">
        <v>3328</v>
      </c>
      <c r="M5" t="n">
        <v>2.61</v>
      </c>
      <c r="R5" t="n">
        <v>115310</v>
      </c>
      <c r="T5" t="n">
        <v>21.07</v>
      </c>
    </row>
    <row r="6">
      <c r="L6" s="21" t="n">
        <v>3332</v>
      </c>
      <c r="M6" t="n">
        <v>2.64</v>
      </c>
      <c r="R6" t="n">
        <v>115390</v>
      </c>
      <c r="T6" t="n">
        <v>20.72</v>
      </c>
    </row>
    <row r="7">
      <c r="L7" s="21" t="n">
        <v>3336</v>
      </c>
      <c r="M7" t="n">
        <v>2.51</v>
      </c>
      <c r="R7" t="n">
        <v>115460</v>
      </c>
      <c r="T7" t="n">
        <v>21.36</v>
      </c>
    </row>
    <row r="8">
      <c r="L8" s="21" t="n">
        <v>3340</v>
      </c>
      <c r="M8" t="n">
        <v>2.52</v>
      </c>
      <c r="R8" t="n">
        <v>115530</v>
      </c>
      <c r="T8" t="n">
        <v>21.16</v>
      </c>
    </row>
    <row r="9">
      <c r="L9" s="21" t="n">
        <v>3344</v>
      </c>
      <c r="M9" t="n">
        <v>2.49</v>
      </c>
      <c r="R9" t="n">
        <v>115600</v>
      </c>
      <c r="T9" t="n">
        <v>20.35</v>
      </c>
    </row>
    <row r="10">
      <c r="L10" s="21" t="n">
        <v>3348</v>
      </c>
      <c r="M10" t="n">
        <v>2.41</v>
      </c>
      <c r="R10" t="n">
        <v>115670</v>
      </c>
      <c r="T10" t="n">
        <v>19.76</v>
      </c>
    </row>
    <row r="11">
      <c r="L11" s="21" t="n">
        <v>3352</v>
      </c>
      <c r="M11" t="n">
        <v>2.43</v>
      </c>
      <c r="R11" t="n">
        <v>115720</v>
      </c>
      <c r="T11" t="n">
        <v>19.98</v>
      </c>
    </row>
    <row r="12">
      <c r="L12" s="21" t="n">
        <v>3356</v>
      </c>
      <c r="M12" t="n">
        <v>2.38</v>
      </c>
      <c r="R12" t="n">
        <v>115770</v>
      </c>
      <c r="T12" t="n">
        <v>19.64</v>
      </c>
    </row>
    <row r="13">
      <c r="L13" s="21" t="n">
        <v>3360</v>
      </c>
      <c r="M13" t="n">
        <v>2.4</v>
      </c>
      <c r="R13" t="n">
        <v>115810</v>
      </c>
      <c r="T13" t="n">
        <v>20.46</v>
      </c>
    </row>
    <row r="14">
      <c r="L14" s="21" t="n">
        <v>3364</v>
      </c>
      <c r="M14" t="n">
        <v>2.35</v>
      </c>
      <c r="R14" t="n">
        <v>115860</v>
      </c>
      <c r="T14" t="n">
        <v>20.36</v>
      </c>
    </row>
    <row r="15">
      <c r="L15" s="21" t="n">
        <v>3368</v>
      </c>
      <c r="M15" t="n">
        <v>2.73</v>
      </c>
      <c r="R15" t="n">
        <v>115930</v>
      </c>
      <c r="T15" t="n">
        <v>20.99</v>
      </c>
    </row>
    <row r="16">
      <c r="L16" s="21" t="n">
        <v>3372</v>
      </c>
      <c r="M16" t="n">
        <v>2.98</v>
      </c>
      <c r="R16" t="n">
        <v>116020</v>
      </c>
      <c r="T16" t="n">
        <v>19.81</v>
      </c>
    </row>
    <row r="17">
      <c r="L17" s="21" t="n">
        <v>3380</v>
      </c>
      <c r="M17" t="n">
        <v>3.02</v>
      </c>
      <c r="R17" t="n">
        <v>116080</v>
      </c>
      <c r="T17" t="n">
        <v>19.66</v>
      </c>
    </row>
    <row r="18">
      <c r="L18" s="21" t="n">
        <v>3384</v>
      </c>
      <c r="M18" t="n">
        <v>3.79</v>
      </c>
      <c r="R18" t="n">
        <v>116110</v>
      </c>
      <c r="T18" t="n">
        <v>19.53</v>
      </c>
    </row>
    <row r="19">
      <c r="L19" s="21" t="n">
        <v>3408</v>
      </c>
      <c r="M19" t="n">
        <v>3.53</v>
      </c>
      <c r="R19" t="n">
        <v>116230</v>
      </c>
      <c r="T19" t="n">
        <v>22.68</v>
      </c>
    </row>
    <row r="20">
      <c r="L20" s="21" t="n">
        <v>3424</v>
      </c>
      <c r="M20" t="n">
        <v>4.28</v>
      </c>
      <c r="R20" t="n">
        <v>116420</v>
      </c>
      <c r="T20" t="n">
        <v>22.58</v>
      </c>
    </row>
    <row r="21">
      <c r="L21" s="21" t="n">
        <v>3428</v>
      </c>
      <c r="M21" t="n">
        <v>3.85</v>
      </c>
      <c r="R21" t="n">
        <v>116620</v>
      </c>
      <c r="T21" t="n">
        <v>21.78</v>
      </c>
    </row>
    <row r="22">
      <c r="L22" s="21" t="n">
        <v>3432</v>
      </c>
      <c r="M22" t="n">
        <v>4.58</v>
      </c>
      <c r="R22" t="n">
        <v>116820</v>
      </c>
      <c r="T22" t="n">
        <v>22.98</v>
      </c>
    </row>
    <row r="23">
      <c r="L23" s="21" t="n">
        <v>3476</v>
      </c>
      <c r="M23" t="n">
        <v>4.06</v>
      </c>
      <c r="R23" t="n">
        <v>117020</v>
      </c>
      <c r="T23" t="n">
        <v>22.53</v>
      </c>
    </row>
    <row r="24">
      <c r="L24" s="21" t="n">
        <v>3480</v>
      </c>
      <c r="M24" t="n">
        <v>3.18</v>
      </c>
      <c r="R24" t="n">
        <v>117220</v>
      </c>
      <c r="T24" t="n">
        <v>22.2</v>
      </c>
    </row>
    <row r="25">
      <c r="L25" s="21" t="n">
        <v>3488</v>
      </c>
      <c r="M25" t="n">
        <v>3.31</v>
      </c>
      <c r="R25" t="n">
        <v>117460</v>
      </c>
      <c r="T25" t="n">
        <v>22.52</v>
      </c>
    </row>
    <row r="26">
      <c r="L26" s="21" t="n">
        <v>3492</v>
      </c>
      <c r="M26" t="n">
        <v>4.21</v>
      </c>
      <c r="R26" t="n">
        <v>117740</v>
      </c>
      <c r="T26" t="n">
        <v>22.48</v>
      </c>
    </row>
    <row r="27">
      <c r="L27" s="21" t="n">
        <v>3496</v>
      </c>
      <c r="M27" t="n">
        <v>3.29</v>
      </c>
      <c r="R27" t="n">
        <v>118030</v>
      </c>
      <c r="T27" t="n">
        <v>22.86</v>
      </c>
    </row>
    <row r="28">
      <c r="L28" s="21" t="n">
        <v>3508</v>
      </c>
      <c r="M28" t="n">
        <v>3.29</v>
      </c>
      <c r="R28" t="n">
        <v>118350</v>
      </c>
      <c r="T28" t="n">
        <v>22.47</v>
      </c>
    </row>
    <row r="29">
      <c r="L29" s="21" t="n">
        <v>3512</v>
      </c>
      <c r="M29" t="n">
        <v>2.47</v>
      </c>
      <c r="R29" t="n">
        <v>118650</v>
      </c>
      <c r="T29" t="n">
        <v>22.57</v>
      </c>
    </row>
    <row r="30">
      <c r="L30" s="21" t="n">
        <v>3540</v>
      </c>
      <c r="M30" t="n">
        <v>4.28</v>
      </c>
      <c r="R30" t="n">
        <v>118940</v>
      </c>
      <c r="T30" t="n">
        <v>22.56</v>
      </c>
    </row>
    <row r="31">
      <c r="L31" s="21" t="n"/>
      <c r="R31" t="n">
        <v>119230</v>
      </c>
      <c r="T31" t="n">
        <v>22.7</v>
      </c>
    </row>
    <row r="32">
      <c r="R32" t="n">
        <v>119540</v>
      </c>
      <c r="T32" t="n">
        <v>22.43</v>
      </c>
    </row>
    <row r="33">
      <c r="R33" t="n">
        <v>119880</v>
      </c>
      <c r="T33" t="n">
        <v>22.43</v>
      </c>
    </row>
    <row r="34">
      <c r="R34" t="n">
        <v>120250</v>
      </c>
      <c r="T34" t="n">
        <v>22.68</v>
      </c>
    </row>
    <row r="35">
      <c r="R35" t="n">
        <v>120620</v>
      </c>
      <c r="T35" t="n">
        <v>22.47</v>
      </c>
    </row>
    <row r="36">
      <c r="R36" t="n">
        <v>120970</v>
      </c>
      <c r="T36" t="n">
        <v>22.55</v>
      </c>
    </row>
    <row r="37">
      <c r="R37" t="n">
        <v>121370</v>
      </c>
      <c r="T37" t="n">
        <v>22.51</v>
      </c>
    </row>
    <row r="38">
      <c r="R38" t="n">
        <v>121810</v>
      </c>
      <c r="T38" t="n">
        <v>22.5</v>
      </c>
    </row>
    <row r="39">
      <c r="R39" t="n">
        <v>122240</v>
      </c>
      <c r="T39" t="n">
        <v>22.77</v>
      </c>
    </row>
    <row r="40">
      <c r="R40" t="n">
        <v>122670</v>
      </c>
      <c r="T40" t="n">
        <v>22.66</v>
      </c>
    </row>
    <row r="41">
      <c r="R41" t="n">
        <v>123080</v>
      </c>
      <c r="T41" t="n">
        <v>23.09</v>
      </c>
    </row>
    <row r="42">
      <c r="R42" t="n">
        <v>123490</v>
      </c>
      <c r="T42" t="n">
        <v>22.32</v>
      </c>
    </row>
    <row r="43">
      <c r="R43" t="n">
        <v>123880</v>
      </c>
      <c r="T43" t="n">
        <v>22.56</v>
      </c>
    </row>
    <row r="44">
      <c r="R44" t="n">
        <v>124270</v>
      </c>
      <c r="T44" t="n">
        <v>22.88</v>
      </c>
    </row>
    <row r="45">
      <c r="R45" t="n">
        <v>124650</v>
      </c>
      <c r="T45" t="n">
        <v>22.64</v>
      </c>
    </row>
    <row r="46">
      <c r="R46" t="n">
        <v>125660</v>
      </c>
      <c r="T46" t="n">
        <v>22.16</v>
      </c>
    </row>
    <row r="47">
      <c r="R47" t="n">
        <v>125990</v>
      </c>
      <c r="T47" t="n">
        <v>22.01</v>
      </c>
    </row>
    <row r="48">
      <c r="R48" t="n">
        <v>126360</v>
      </c>
      <c r="T48" t="n">
        <v>21.82</v>
      </c>
    </row>
    <row r="49">
      <c r="R49" t="n">
        <v>126640</v>
      </c>
      <c r="T49" t="n">
        <v>21.16</v>
      </c>
    </row>
    <row r="50">
      <c r="R50" t="n">
        <v>126850</v>
      </c>
      <c r="T50" t="n">
        <v>21.82</v>
      </c>
    </row>
    <row r="51">
      <c r="R51" t="n">
        <v>127040</v>
      </c>
      <c r="T51" t="n">
        <v>21.6</v>
      </c>
    </row>
    <row r="52">
      <c r="R52" t="n">
        <v>127210</v>
      </c>
      <c r="T52" t="n">
        <v>21.61</v>
      </c>
    </row>
    <row r="53">
      <c r="R53" t="n">
        <v>127360</v>
      </c>
      <c r="T53" t="n">
        <v>21.69</v>
      </c>
    </row>
    <row r="54">
      <c r="R54" t="n">
        <v>127490</v>
      </c>
      <c r="T54" t="n">
        <v>21.56</v>
      </c>
    </row>
    <row r="55">
      <c r="R55" t="n">
        <v>127610</v>
      </c>
      <c r="T55" t="n">
        <v>21.75</v>
      </c>
    </row>
    <row r="56">
      <c r="R56" t="n">
        <v>127740</v>
      </c>
      <c r="T56" t="n">
        <v>21.42</v>
      </c>
    </row>
    <row r="57">
      <c r="R57" t="n">
        <v>127870</v>
      </c>
      <c r="T57" t="n">
        <v>20.52</v>
      </c>
    </row>
    <row r="58">
      <c r="R58" t="n">
        <v>128000</v>
      </c>
      <c r="T58" t="n">
        <v>20.68</v>
      </c>
    </row>
    <row r="59">
      <c r="R59" t="n">
        <v>128130</v>
      </c>
      <c r="T59" t="n">
        <v>20.15</v>
      </c>
    </row>
    <row r="60">
      <c r="R60" t="n">
        <v>128250</v>
      </c>
      <c r="T60" t="n">
        <v>20.36</v>
      </c>
    </row>
    <row r="61">
      <c r="R61" t="n">
        <v>128360</v>
      </c>
      <c r="T61" t="n">
        <v>20.11</v>
      </c>
    </row>
    <row r="62">
      <c r="R62" t="n">
        <v>128460</v>
      </c>
      <c r="T62" t="n">
        <v>20.28</v>
      </c>
    </row>
    <row r="63">
      <c r="R63" t="n">
        <v>128540</v>
      </c>
      <c r="T63" t="n">
        <v>19.61</v>
      </c>
    </row>
    <row r="64">
      <c r="R64" t="n">
        <v>128610</v>
      </c>
      <c r="T64" t="n">
        <v>19.32</v>
      </c>
    </row>
    <row r="65">
      <c r="R65" t="n">
        <v>128680</v>
      </c>
      <c r="T65" t="n">
        <v>20.07</v>
      </c>
    </row>
    <row r="66">
      <c r="R66" t="n">
        <v>128750</v>
      </c>
      <c r="T66" t="n">
        <v>19.28</v>
      </c>
    </row>
    <row r="67">
      <c r="R67" t="n">
        <v>128820</v>
      </c>
      <c r="T67" t="n">
        <v>19.54</v>
      </c>
    </row>
    <row r="68">
      <c r="R68" t="n">
        <v>128890</v>
      </c>
      <c r="T68" t="n">
        <v>19.28</v>
      </c>
    </row>
    <row r="69">
      <c r="R69" t="n">
        <v>128950</v>
      </c>
      <c r="T69" t="n">
        <v>19.25</v>
      </c>
    </row>
    <row r="70">
      <c r="R70" t="n">
        <v>129010</v>
      </c>
      <c r="T70" t="n">
        <v>19.2</v>
      </c>
    </row>
    <row r="71">
      <c r="R71" t="n">
        <v>129070</v>
      </c>
      <c r="T71" t="n">
        <v>19.88</v>
      </c>
    </row>
    <row r="72">
      <c r="R72" t="n">
        <v>129120</v>
      </c>
      <c r="T72" t="n">
        <v>19.41</v>
      </c>
    </row>
    <row r="73">
      <c r="R73" t="n">
        <v>129170</v>
      </c>
      <c r="T73" t="n">
        <v>18.58</v>
      </c>
    </row>
    <row r="74">
      <c r="R74" t="n">
        <v>129220</v>
      </c>
      <c r="T74" t="n">
        <v>18.47</v>
      </c>
    </row>
    <row r="75">
      <c r="R75" t="n">
        <v>129260</v>
      </c>
      <c r="T75" t="n">
        <v>18.01</v>
      </c>
    </row>
    <row r="76">
      <c r="R76" t="n">
        <v>129310</v>
      </c>
      <c r="T76" t="n">
        <v>17.68</v>
      </c>
    </row>
    <row r="77">
      <c r="R77" t="n">
        <v>129360</v>
      </c>
      <c r="T77" t="n">
        <v>17.11</v>
      </c>
    </row>
    <row r="78">
      <c r="R78" t="n">
        <v>129410</v>
      </c>
      <c r="T78" t="n">
        <v>17.42</v>
      </c>
    </row>
    <row r="79">
      <c r="R79" t="n">
        <v>129460</v>
      </c>
      <c r="T79" t="n">
        <v>17.57</v>
      </c>
    </row>
    <row r="80">
      <c r="R80" t="n">
        <v>129490</v>
      </c>
      <c r="T80" t="n">
        <v>17.52</v>
      </c>
    </row>
    <row r="81">
      <c r="R81" t="n">
        <v>129520</v>
      </c>
      <c r="T81" t="n">
        <v>16.95</v>
      </c>
    </row>
    <row r="82">
      <c r="R82" t="n">
        <v>129550</v>
      </c>
      <c r="T82" t="n">
        <v>16.92</v>
      </c>
    </row>
    <row r="83">
      <c r="R83" t="n">
        <v>129580</v>
      </c>
      <c r="T83" t="n">
        <v>16.6</v>
      </c>
    </row>
    <row r="84">
      <c r="R84" t="n">
        <v>129640</v>
      </c>
      <c r="T84" t="n">
        <v>16.85</v>
      </c>
    </row>
    <row r="85">
      <c r="R85" t="n">
        <v>129700</v>
      </c>
      <c r="T85" t="n">
        <v>16.74</v>
      </c>
    </row>
    <row r="86">
      <c r="R86" t="n">
        <v>129750</v>
      </c>
      <c r="T86" t="n">
        <v>16.55</v>
      </c>
    </row>
    <row r="87">
      <c r="R87" t="n">
        <v>129800</v>
      </c>
      <c r="T87" t="n">
        <v>16.76</v>
      </c>
    </row>
    <row r="88">
      <c r="R88" t="n">
        <v>129860</v>
      </c>
      <c r="T88" t="n">
        <v>17.1</v>
      </c>
    </row>
    <row r="89">
      <c r="R89" t="n">
        <v>129920</v>
      </c>
      <c r="T89" t="n">
        <v>17.36</v>
      </c>
    </row>
    <row r="90">
      <c r="R90" t="n">
        <v>129980</v>
      </c>
      <c r="T90" t="n">
        <v>17.12</v>
      </c>
    </row>
    <row r="91">
      <c r="R91" t="n">
        <v>130040</v>
      </c>
      <c r="T91" t="n">
        <v>17.37</v>
      </c>
    </row>
    <row r="92">
      <c r="R92" t="n">
        <v>130100</v>
      </c>
      <c r="T92" t="n">
        <v>17.19</v>
      </c>
    </row>
    <row r="93">
      <c r="R93" t="n">
        <v>130160</v>
      </c>
      <c r="T93" t="n">
        <v>16.94</v>
      </c>
    </row>
    <row r="94">
      <c r="R94" t="n">
        <v>130220</v>
      </c>
      <c r="T94" t="n">
        <v>16.94</v>
      </c>
    </row>
    <row r="95">
      <c r="R95" t="n">
        <v>130280</v>
      </c>
      <c r="T95" t="n">
        <v>16.69</v>
      </c>
    </row>
    <row r="96">
      <c r="R96" t="n">
        <v>130340</v>
      </c>
      <c r="T96" t="n">
        <v>16.58</v>
      </c>
    </row>
    <row r="97">
      <c r="R97" t="n">
        <v>130400</v>
      </c>
      <c r="T97" t="n">
        <v>16.72</v>
      </c>
    </row>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sheetPr>
    <tabColor rgb="FF0000FF"/>
    <outlinePr summaryBelow="1" summaryRight="1"/>
    <pageSetUpPr/>
  </sheetPr>
  <dimension ref="A1:Z200"/>
  <sheetViews>
    <sheetView zoomScale="108" workbookViewId="0">
      <selection activeCell="L26" sqref="L26"/>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ODP1016C</t>
        </is>
      </c>
      <c r="B2" s="12" t="n">
        <v>-122.2833</v>
      </c>
      <c r="C2" s="12" t="n">
        <v>34.53333</v>
      </c>
      <c r="D2" s="10" t="inlineStr">
        <is>
          <t>UK37</t>
        </is>
      </c>
      <c r="E2" s="6" t="n"/>
      <c r="F2" s="6" t="n"/>
      <c r="G2" s="6" t="n"/>
      <c r="N2" t="n">
        <v>7.29</v>
      </c>
      <c r="O2" t="n">
        <v>0.469</v>
      </c>
      <c r="R2" t="n">
        <v>115382.3</v>
      </c>
      <c r="T2" t="n">
        <v>12.653</v>
      </c>
      <c r="V2" s="6" t="inlineStr">
        <is>
          <t>Yamamoto, M., M. Yamamuro, and Y. Tanaka. 2007. The California current system during the last 136,000 years: response of the North Pacific High to precessional forcing. Quaternary Science Reviews, 26(3-4), 405-414. doi: 10.1016/j.quascirev.2006.07.014</t>
        </is>
      </c>
      <c r="W2" s="13" t="inlineStr">
        <is>
          <t>https://www.ncei.noaa.gov/pub/data/paleo/paleocean/sediment_files/complete/odp1016c-tab.txt</t>
        </is>
      </c>
      <c r="Y2" s="6" t="inlineStr">
        <is>
          <t>uk37 proxy value reports Alkenone saturation index.  #   Alkenones and alkenoates were analyzed following the method of Yamamoto et al. (2000). UK'37 was calculated from the concentrations of di- and tri-unsaturated C37 alken-2-ones [C37MK] using the method of Prahl et al., (1988).</t>
        </is>
      </c>
      <c r="Z2" t="n">
        <v>-3834</v>
      </c>
    </row>
    <row r="3">
      <c r="E3" s="6" t="n"/>
      <c r="F3" s="6" t="n"/>
      <c r="G3" s="6" t="n"/>
      <c r="N3" t="n">
        <v>7.38</v>
      </c>
      <c r="O3" t="n">
        <v>0.49</v>
      </c>
      <c r="R3" t="n">
        <v>116697.6</v>
      </c>
      <c r="T3" t="n">
        <v>13.276</v>
      </c>
    </row>
    <row r="4">
      <c r="E4" s="6" t="n"/>
      <c r="F4" s="6" t="n"/>
      <c r="G4" s="6" t="n"/>
      <c r="N4" t="n">
        <v>7.47</v>
      </c>
      <c r="O4" t="n">
        <v>0.473</v>
      </c>
      <c r="R4" t="n">
        <v>118012.8</v>
      </c>
      <c r="T4" t="n">
        <v>12.751</v>
      </c>
    </row>
    <row r="5">
      <c r="E5" s="6" t="n"/>
      <c r="F5" s="6" t="n"/>
      <c r="G5" s="6" t="n"/>
      <c r="N5" t="n">
        <v>7.56</v>
      </c>
      <c r="O5" t="n">
        <v>0.519</v>
      </c>
      <c r="R5" t="n">
        <v>119328.1</v>
      </c>
      <c r="T5" t="n">
        <v>14.114</v>
      </c>
    </row>
    <row r="6">
      <c r="N6" t="n">
        <v>7.65</v>
      </c>
      <c r="O6" t="n">
        <v>0.5659999999999999</v>
      </c>
      <c r="R6" t="n">
        <v>120643.4</v>
      </c>
      <c r="T6" t="n">
        <v>15.496</v>
      </c>
    </row>
    <row r="7">
      <c r="N7" t="n">
        <v>7.74</v>
      </c>
      <c r="O7" t="n">
        <v>0.615</v>
      </c>
      <c r="R7" t="n">
        <v>121958.7</v>
      </c>
      <c r="T7" t="n">
        <v>16.943</v>
      </c>
    </row>
    <row r="8">
      <c r="N8" t="n">
        <v>7.83</v>
      </c>
      <c r="O8" t="n">
        <v>0.635</v>
      </c>
      <c r="R8" t="n">
        <v>123274</v>
      </c>
      <c r="T8" t="n">
        <v>17.537</v>
      </c>
    </row>
    <row r="9">
      <c r="N9" t="n">
        <v>7.92</v>
      </c>
      <c r="O9" t="n">
        <v>0.629</v>
      </c>
      <c r="R9" t="n">
        <v>123813.4</v>
      </c>
      <c r="T9" t="n">
        <v>17.34</v>
      </c>
    </row>
    <row r="10">
      <c r="N10" t="n">
        <v>8.01</v>
      </c>
      <c r="O10" t="n">
        <v>0.614</v>
      </c>
      <c r="R10" t="n">
        <v>124352.9</v>
      </c>
      <c r="T10" t="n">
        <v>16.919</v>
      </c>
    </row>
    <row r="11">
      <c r="N11" t="n">
        <v>8.1</v>
      </c>
      <c r="O11" t="n">
        <v>0.545</v>
      </c>
      <c r="R11" t="n">
        <v>124892.3</v>
      </c>
      <c r="T11" t="n">
        <v>14.893</v>
      </c>
    </row>
    <row r="12">
      <c r="N12" t="n">
        <v>8.19</v>
      </c>
      <c r="O12" t="n">
        <v>0.515</v>
      </c>
      <c r="R12" t="n">
        <v>125431.7</v>
      </c>
      <c r="T12" t="n">
        <v>14.013</v>
      </c>
    </row>
    <row r="13">
      <c r="N13" t="n">
        <v>8.279999999999999</v>
      </c>
      <c r="O13" t="n">
        <v>0.486</v>
      </c>
      <c r="R13" t="n">
        <v>125971.1</v>
      </c>
      <c r="T13" t="n">
        <v>13.139</v>
      </c>
    </row>
    <row r="14">
      <c r="N14" t="n">
        <v>8.369999999999999</v>
      </c>
      <c r="O14" t="n">
        <v>0.468</v>
      </c>
      <c r="R14" t="n">
        <v>126510.6</v>
      </c>
      <c r="T14" t="n">
        <v>12.632</v>
      </c>
    </row>
    <row r="15">
      <c r="N15" t="n">
        <v>8.460000000000001</v>
      </c>
      <c r="O15" t="n">
        <v>0.469</v>
      </c>
      <c r="R15" t="n">
        <v>127050</v>
      </c>
      <c r="T15" t="n">
        <v>12.662</v>
      </c>
    </row>
    <row r="16">
      <c r="N16" t="n">
        <v>8.550000000000001</v>
      </c>
      <c r="O16" t="n">
        <v>0.515</v>
      </c>
      <c r="R16" t="n">
        <v>128775.2</v>
      </c>
      <c r="T16" t="n">
        <v>13.998</v>
      </c>
    </row>
    <row r="17">
      <c r="N17" t="n">
        <v>8.640000000000001</v>
      </c>
      <c r="O17" t="n">
        <v>0.498</v>
      </c>
      <c r="R17" t="n">
        <v>130500.3</v>
      </c>
      <c r="T17" t="n">
        <v>13.505</v>
      </c>
    </row>
    <row r="18">
      <c r="N18" t="n">
        <v>8.73</v>
      </c>
      <c r="O18" t="n">
        <v>0.478</v>
      </c>
      <c r="R18" t="n">
        <v>132225.5</v>
      </c>
      <c r="T18" t="n">
        <v>12.925</v>
      </c>
    </row>
    <row r="19">
      <c r="N19" t="n">
        <v>8.82</v>
      </c>
      <c r="O19" t="n">
        <v>0.441</v>
      </c>
      <c r="R19" t="n">
        <v>133950.6</v>
      </c>
      <c r="T19" t="n">
        <v>11.813</v>
      </c>
    </row>
    <row r="20">
      <c r="N20" t="n">
        <v>8.91</v>
      </c>
      <c r="O20" t="n">
        <v>0.454</v>
      </c>
      <c r="R20" t="n">
        <v>134761.9</v>
      </c>
      <c r="T20" t="n">
        <v>12.196</v>
      </c>
    </row>
    <row r="21">
      <c r="N21" t="n">
        <v>9</v>
      </c>
      <c r="O21" t="n">
        <v>0.422</v>
      </c>
      <c r="R21" t="n">
        <v>135573.2</v>
      </c>
      <c r="T21" t="n">
        <v>11.263</v>
      </c>
    </row>
    <row r="22">
      <c r="N22" t="n">
        <v>9.1</v>
      </c>
      <c r="O22" t="n">
        <v>0.383</v>
      </c>
      <c r="R22" t="n">
        <v>136474.7</v>
      </c>
      <c r="T22" t="n">
        <v>10.114</v>
      </c>
    </row>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7.xml><?xml version="1.0" encoding="utf-8"?>
<worksheet xmlns="http://schemas.openxmlformats.org/spreadsheetml/2006/main">
  <sheetPr>
    <tabColor rgb="FF0000FF"/>
    <outlinePr summaryBelow="1" summaryRight="1"/>
    <pageSetUpPr/>
  </sheetPr>
  <dimension ref="A1:Z200"/>
  <sheetViews>
    <sheetView zoomScale="108" workbookViewId="0">
      <selection activeCell="Y2" sqref="Y2"/>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ODP1014A</t>
        </is>
      </c>
      <c r="B2" s="12" t="n">
        <v>-118.9</v>
      </c>
      <c r="C2" s="12" t="n">
        <v>-32.8</v>
      </c>
      <c r="D2" s="10" t="inlineStr">
        <is>
          <t>UK37</t>
        </is>
      </c>
      <c r="E2" s="6" t="n"/>
      <c r="F2" s="6" t="n"/>
      <c r="G2" s="6" t="n"/>
      <c r="N2" t="n">
        <v>13</v>
      </c>
      <c r="O2" t="n">
        <v>0.592</v>
      </c>
      <c r="R2" t="n">
        <v>116675</v>
      </c>
      <c r="T2" t="n">
        <v>16.253</v>
      </c>
      <c r="V2" s="6" t="inlineStr">
        <is>
          <t>Yamamoto, M., M. Yamamuro, and Y. Tanaka. 2007. The California current system during the last 136,000 years: response of the North Pacific High to precessional forcing. Quaternary Science Reviews, 26(3-4), 405-414. doi: 10.1016/j.quascirev.2006.07.014</t>
        </is>
      </c>
      <c r="W2" s="13" t="inlineStr">
        <is>
          <t>https://www.ncei.noaa.gov/pub/data/paleo/paleocean/sediment_files/complete/odp1014a-tab.txt</t>
        </is>
      </c>
      <c r="Y2" s="6" t="inlineStr">
        <is>
          <t>uk37 proxy value reports Alkenone saturation index.  #   Alkenones and alkenoates were analyzed following the method of Yamamoto et al. (2000). UK'37 was calculated from the concentrations of di- and tri-unsaturated C37 alken-2-ones [C37MK] using the method of Prahl et al., (1988).</t>
        </is>
      </c>
      <c r="Z2" t="n">
        <v>-1165</v>
      </c>
    </row>
    <row r="3">
      <c r="E3" s="6" t="n"/>
      <c r="F3" s="6" t="n"/>
      <c r="G3" s="6" t="n"/>
      <c r="N3" t="n">
        <v>13.2</v>
      </c>
      <c r="O3" t="n">
        <v>0.646</v>
      </c>
      <c r="R3" t="n">
        <v>119290.6</v>
      </c>
      <c r="T3" t="n">
        <v>17.865</v>
      </c>
    </row>
    <row r="4">
      <c r="E4" s="6" t="n"/>
      <c r="F4" s="6" t="n"/>
      <c r="G4" s="6" t="n"/>
      <c r="N4" t="n">
        <v>13.81</v>
      </c>
      <c r="O4" t="n">
        <v>0.596</v>
      </c>
      <c r="R4" t="n">
        <v>124094</v>
      </c>
      <c r="T4" t="n">
        <v>16.391</v>
      </c>
    </row>
    <row r="5">
      <c r="E5" s="6" t="n"/>
      <c r="F5" s="6" t="n"/>
      <c r="G5" s="6" t="n"/>
      <c r="N5" t="n">
        <v>13.4</v>
      </c>
      <c r="O5" t="n">
        <v>0.6850000000000001</v>
      </c>
      <c r="R5" t="n">
        <v>121906.1</v>
      </c>
      <c r="T5" t="n">
        <v>19.007</v>
      </c>
    </row>
    <row r="6">
      <c r="N6" t="n">
        <v>14.01</v>
      </c>
      <c r="O6" t="n">
        <v>0.578</v>
      </c>
      <c r="R6" t="n">
        <v>125007.3</v>
      </c>
      <c r="T6" t="n">
        <v>15.855</v>
      </c>
    </row>
    <row r="7">
      <c r="N7" t="n">
        <v>13.62</v>
      </c>
      <c r="O7" t="n">
        <v>0.673</v>
      </c>
      <c r="R7" t="n">
        <v>123274</v>
      </c>
      <c r="T7" t="n">
        <v>18.648</v>
      </c>
    </row>
    <row r="8">
      <c r="N8" t="n">
        <v>14.21</v>
      </c>
      <c r="O8" t="n">
        <v>0.6929999999999999</v>
      </c>
      <c r="R8" t="n">
        <v>127050</v>
      </c>
      <c r="T8" t="n">
        <v>19.236</v>
      </c>
    </row>
    <row r="9">
      <c r="N9" t="n">
        <v>13.78</v>
      </c>
      <c r="O9" t="n">
        <v>0.677</v>
      </c>
      <c r="R9" t="n">
        <v>123957</v>
      </c>
      <c r="T9" t="n">
        <v>18.767</v>
      </c>
    </row>
    <row r="10">
      <c r="N10" t="n">
        <v>14.41</v>
      </c>
      <c r="O10" t="n">
        <v>0.5649999999999999</v>
      </c>
      <c r="R10" t="n">
        <v>129375</v>
      </c>
      <c r="T10" t="n">
        <v>15.47</v>
      </c>
    </row>
    <row r="11">
      <c r="N11" t="n">
        <v>14.61</v>
      </c>
      <c r="O11" t="n">
        <v>0.58</v>
      </c>
      <c r="R11" t="n">
        <v>130705.4</v>
      </c>
      <c r="T11" t="n">
        <v>15.911</v>
      </c>
    </row>
    <row r="12">
      <c r="N12" t="n">
        <v>14.81</v>
      </c>
      <c r="O12" t="n">
        <v>0.571</v>
      </c>
      <c r="R12" t="n">
        <v>131787.1</v>
      </c>
      <c r="T12" t="n">
        <v>15.645</v>
      </c>
    </row>
    <row r="13">
      <c r="N13" t="n">
        <v>15.01</v>
      </c>
      <c r="O13" t="n">
        <v>0.58</v>
      </c>
      <c r="R13" t="n">
        <v>132868.9</v>
      </c>
      <c r="T13" t="n">
        <v>15.903</v>
      </c>
    </row>
    <row r="14">
      <c r="N14" t="n">
        <v>15.21</v>
      </c>
      <c r="O14" t="n">
        <v>0.609</v>
      </c>
      <c r="R14" t="n">
        <v>133950.6</v>
      </c>
      <c r="T14" t="n">
        <v>16.77</v>
      </c>
    </row>
    <row r="15">
      <c r="N15" t="n">
        <v>15.31</v>
      </c>
      <c r="O15" t="n">
        <v>0.5629999999999999</v>
      </c>
      <c r="R15" t="n">
        <v>134491.5</v>
      </c>
      <c r="T15" t="n">
        <v>15.417</v>
      </c>
    </row>
    <row r="16">
      <c r="N16" t="n">
        <v>15.51</v>
      </c>
      <c r="O16" t="n">
        <v>0.495</v>
      </c>
      <c r="R16" t="n">
        <v>135573.2</v>
      </c>
      <c r="T16" t="n">
        <v>13.406</v>
      </c>
    </row>
    <row r="17">
      <c r="N17" t="n">
        <v>15.71</v>
      </c>
      <c r="O17" t="n">
        <v>0.501</v>
      </c>
      <c r="R17" t="n">
        <v>136655</v>
      </c>
      <c r="T17" t="n">
        <v>13.595</v>
      </c>
    </row>
    <row r="18">
      <c r="N18" t="n">
        <v>15.91</v>
      </c>
      <c r="O18" t="n">
        <v>0.491</v>
      </c>
      <c r="R18" t="n">
        <v>137736.7</v>
      </c>
      <c r="T18" t="n">
        <v>13.294</v>
      </c>
    </row>
    <row r="19">
      <c r="N19" t="n">
        <v>16.11</v>
      </c>
      <c r="O19" t="n">
        <v>0.464</v>
      </c>
      <c r="R19" t="n">
        <v>138818.4</v>
      </c>
      <c r="T19" t="n">
        <v>12.509</v>
      </c>
    </row>
    <row r="20">
      <c r="N20" t="n">
        <v>16.31</v>
      </c>
      <c r="O20" t="n">
        <v>0.471</v>
      </c>
      <c r="R20" t="n">
        <v>139900.2</v>
      </c>
      <c r="T20" t="n">
        <v>12.7</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8.xml><?xml version="1.0" encoding="utf-8"?>
<worksheet xmlns="http://schemas.openxmlformats.org/spreadsheetml/2006/main">
  <sheetPr>
    <tabColor rgb="FF0000FF"/>
    <outlinePr summaryBelow="1" summaryRight="1"/>
    <pageSetUpPr/>
  </sheetPr>
  <dimension ref="A1:AB200"/>
  <sheetViews>
    <sheetView topLeftCell="C1" zoomScale="67" workbookViewId="0">
      <selection activeCell="P31" sqref="P31"/>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c r="AA1" s="8" t="inlineStr">
        <is>
          <t>d18O_calcite</t>
        </is>
      </c>
      <c r="AB1" s="8" t="inlineStr">
        <is>
          <t>d18O_sw</t>
        </is>
      </c>
    </row>
    <row r="2">
      <c r="A2" s="9" t="inlineStr">
        <is>
          <t>ODP999A</t>
        </is>
      </c>
      <c r="B2" s="12" t="n">
        <v>-78.73</v>
      </c>
      <c r="C2" s="12" t="n">
        <v>12.75</v>
      </c>
      <c r="D2" s="10" t="inlineStr">
        <is>
          <t>MgCa</t>
        </is>
      </c>
      <c r="E2" s="6" t="n"/>
      <c r="F2" s="6" t="n"/>
      <c r="G2" s="6" t="n"/>
      <c r="N2" t="n">
        <v>481</v>
      </c>
      <c r="O2" t="n">
        <v>3.722</v>
      </c>
      <c r="R2" t="n">
        <v>115880</v>
      </c>
      <c r="T2" t="n">
        <v>27.1</v>
      </c>
      <c r="V2" s="6" t="inlineStr">
        <is>
          <t>Schmidt, M.W., H.J. Spero, and D.W. Lea. 2004. Links between salinity variation in the Caribbean and North Atlantic thermohaline circulation. Nature, 428, 160-163. doi: 10.1038/nature02346</t>
        </is>
      </c>
      <c r="W2" s="13" t="inlineStr">
        <is>
          <t>https://www.ncei.noaa.gov/pub/data/paleo/paleocean/sediment_files/complete/odp999a-tab.txt</t>
        </is>
      </c>
      <c r="Y2" s="6" t="inlineStr">
        <is>
          <t>d18Ocalcite are measurements on the planktic foraminifera Globigerinoides ruber, which are used to reconstruct d18O seawater. d18Ocalcite and d18Osw are reported as extra columns to avoid confusion with Hoffman et al.'s convensions</t>
        </is>
      </c>
      <c r="Z2" t="n">
        <v>-2827</v>
      </c>
      <c r="AA2" t="n">
        <v>-1.7</v>
      </c>
      <c r="AB2" t="n">
        <v>0.76</v>
      </c>
    </row>
    <row r="3">
      <c r="E3" s="6" t="n"/>
      <c r="F3" s="6" t="n"/>
      <c r="G3" s="6" t="n"/>
      <c r="N3" t="n">
        <v>488</v>
      </c>
      <c r="O3" t="n">
        <v>3.931</v>
      </c>
      <c r="R3" t="n">
        <v>117590</v>
      </c>
      <c r="T3" t="n">
        <v>27.7</v>
      </c>
      <c r="AA3" t="n">
        <v>-1.85</v>
      </c>
      <c r="AB3" t="n">
        <v>0.73</v>
      </c>
    </row>
    <row r="4">
      <c r="E4" s="6" t="n"/>
      <c r="F4" s="6" t="n"/>
      <c r="G4" s="6" t="n"/>
      <c r="N4" t="n">
        <v>493</v>
      </c>
      <c r="O4" t="n">
        <v>3.746</v>
      </c>
      <c r="R4" t="n">
        <v>118820</v>
      </c>
      <c r="T4" t="n">
        <v>27.1</v>
      </c>
      <c r="AA4" t="n">
        <v>-1.96</v>
      </c>
      <c r="AB4" t="n">
        <v>0.51</v>
      </c>
    </row>
    <row r="5">
      <c r="E5" s="6" t="n"/>
      <c r="F5" s="6" t="n"/>
      <c r="G5" s="6" t="n"/>
      <c r="N5" t="n">
        <v>498</v>
      </c>
      <c r="O5" t="n">
        <v>4.053</v>
      </c>
      <c r="R5" t="n">
        <v>120040</v>
      </c>
      <c r="T5" t="n">
        <v>28</v>
      </c>
      <c r="AA5" t="n">
        <v>-1.88</v>
      </c>
      <c r="AB5" t="n">
        <v>0.78</v>
      </c>
    </row>
    <row r="6">
      <c r="N6" t="n">
        <v>503</v>
      </c>
      <c r="O6" t="n">
        <v>4.107</v>
      </c>
      <c r="R6" t="n">
        <v>121440</v>
      </c>
      <c r="T6" t="n">
        <v>28.2</v>
      </c>
      <c r="AA6" t="n">
        <v>-1.74</v>
      </c>
      <c r="AB6" t="n">
        <v>0.95</v>
      </c>
    </row>
    <row r="7">
      <c r="N7" t="n">
        <v>506</v>
      </c>
      <c r="O7" t="n">
        <v>4.453</v>
      </c>
      <c r="R7" t="n">
        <v>123890</v>
      </c>
      <c r="T7" t="n">
        <v>29.1</v>
      </c>
      <c r="AA7" t="n">
        <v>-2.07</v>
      </c>
      <c r="AB7" t="n">
        <v>0.8</v>
      </c>
    </row>
    <row r="8">
      <c r="N8" t="n">
        <v>511</v>
      </c>
      <c r="O8" t="n">
        <v>4.311</v>
      </c>
      <c r="R8" t="n">
        <v>126100</v>
      </c>
      <c r="T8" t="n">
        <v>28.7</v>
      </c>
      <c r="AA8" t="n">
        <v>-1.83</v>
      </c>
      <c r="AB8" t="n">
        <v>0.97</v>
      </c>
    </row>
    <row r="9">
      <c r="N9" t="n">
        <v>517</v>
      </c>
      <c r="O9" t="n">
        <v>4.655</v>
      </c>
      <c r="R9" t="n">
        <v>128600</v>
      </c>
      <c r="T9" t="n">
        <v>29.5</v>
      </c>
      <c r="AA9" t="n">
        <v>-1.68</v>
      </c>
      <c r="AB9" t="n">
        <v>1.3</v>
      </c>
    </row>
    <row r="10">
      <c r="N10" t="n">
        <v>522</v>
      </c>
      <c r="O10" t="n">
        <v>4.516</v>
      </c>
      <c r="R10" t="n">
        <v>130750</v>
      </c>
      <c r="T10" t="n">
        <v>29.2</v>
      </c>
      <c r="AA10" t="n">
        <v>-1.76</v>
      </c>
      <c r="AB10" t="n">
        <v>1.15</v>
      </c>
    </row>
    <row r="11">
      <c r="N11" t="n">
        <v>526</v>
      </c>
      <c r="O11" t="n">
        <v>4.26</v>
      </c>
      <c r="R11" t="n">
        <v>131800</v>
      </c>
      <c r="T11" t="n">
        <v>28.6</v>
      </c>
      <c r="AA11" t="n">
        <v>-1.51</v>
      </c>
      <c r="AB11" t="n">
        <v>1.26</v>
      </c>
    </row>
    <row r="12">
      <c r="N12" t="n">
        <v>531</v>
      </c>
      <c r="O12" t="n">
        <v>3.88</v>
      </c>
      <c r="R12" t="n">
        <v>132800</v>
      </c>
      <c r="T12" t="n">
        <v>27.5</v>
      </c>
      <c r="AA12" t="n">
        <v>-0.89</v>
      </c>
      <c r="AB12" t="n">
        <v>1.67</v>
      </c>
    </row>
    <row r="13">
      <c r="N13" t="n">
        <v>537</v>
      </c>
      <c r="O13" t="n">
        <v>4.01</v>
      </c>
      <c r="R13" t="n">
        <v>133200</v>
      </c>
      <c r="T13" t="n">
        <v>27.9</v>
      </c>
      <c r="AA13" t="n">
        <v>-0.55</v>
      </c>
      <c r="AB13" t="n">
        <v>2.08</v>
      </c>
    </row>
    <row r="14">
      <c r="N14" t="n">
        <v>542</v>
      </c>
      <c r="O14" t="n">
        <v>3.81</v>
      </c>
      <c r="R14" t="n">
        <v>135100</v>
      </c>
      <c r="T14" t="n">
        <v>27.3</v>
      </c>
      <c r="AA14" t="n">
        <v>-0.54</v>
      </c>
      <c r="AB14" t="n">
        <v>1.97</v>
      </c>
    </row>
    <row r="15">
      <c r="N15" t="n">
        <v>547</v>
      </c>
      <c r="O15" t="n">
        <v>3.32</v>
      </c>
      <c r="R15" t="n">
        <v>135900</v>
      </c>
      <c r="T15" t="n">
        <v>25.8</v>
      </c>
      <c r="AA15" t="n">
        <v>-0.24</v>
      </c>
      <c r="AB15" t="n">
        <v>1.95</v>
      </c>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9.xml><?xml version="1.0" encoding="utf-8"?>
<worksheet xmlns="http://schemas.openxmlformats.org/spreadsheetml/2006/main">
  <sheetPr>
    <tabColor rgb="FF0000FF"/>
    <outlinePr summaryBelow="1" summaryRight="1"/>
    <pageSetUpPr/>
  </sheetPr>
  <dimension ref="A1:AB200"/>
  <sheetViews>
    <sheetView topLeftCell="D1" zoomScale="93" workbookViewId="0">
      <selection activeCell="W2" sqref="W2"/>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U939</t>
        </is>
      </c>
      <c r="B2" s="12" t="n">
        <v>179.3</v>
      </c>
      <c r="C2" s="12" t="n">
        <v>-44.32</v>
      </c>
      <c r="D2" s="10" t="inlineStr">
        <is>
          <t>UK37</t>
        </is>
      </c>
      <c r="E2" s="6" t="n"/>
      <c r="F2" s="6" t="n"/>
      <c r="G2" s="6" t="n"/>
      <c r="N2" s="23" t="n">
        <v>246</v>
      </c>
      <c r="O2" s="24" t="n">
        <v>0.524097591285315</v>
      </c>
      <c r="R2" s="22" t="n">
        <v>115857.5</v>
      </c>
      <c r="S2" s="6" t="n">
        <v>12.26757621427397</v>
      </c>
      <c r="T2" t="n">
        <v>14.26757621427397</v>
      </c>
      <c r="U2" s="6" t="n">
        <v>16.26757621427397</v>
      </c>
      <c r="V2" s="6" t="inlineStr">
        <is>
          <t>Sikes, E.L., W.R. Howard, H.L. Neil, and J.K. Volkman. 2002. Glacial-interglacial sea surface temperature changes across the subtropical front east of New Zealand based on alkenone unsaturation ratios and foraminiferal assemblages. Paleoceanography, 17(2), 1012. doi: 10.1029/2001PA000640</t>
        </is>
      </c>
      <c r="W2" s="13" t="inlineStr">
        <is>
          <t>https://www.ncei.noaa.gov/pub/data/paleo/paleocean/sediment_files/complete/u939-tab.txt</t>
        </is>
      </c>
      <c r="Y2" s="6" t="inlineStr">
        <is>
          <t xml:space="preserve">uk37 proxy values are Alkenone saturation index. Subsurface Uk37 SST calculated using Prahl and Wakeham [1998] (Uk'37 = 0.034T+0.039). One sigma =1.0°C Antarctic CRC/CSIRO Oceanography. </t>
        </is>
      </c>
      <c r="Z2" t="n">
        <v>-1300</v>
      </c>
    </row>
    <row r="3">
      <c r="E3" s="6" t="n"/>
      <c r="F3" s="6" t="n"/>
      <c r="G3" s="6" t="n"/>
      <c r="N3" s="23" t="n">
        <v>266</v>
      </c>
      <c r="O3" s="24" t="n">
        <v>0.4857165384792103</v>
      </c>
      <c r="R3" s="22" t="n">
        <v>129840</v>
      </c>
      <c r="S3" s="6" t="n">
        <v>11.13872171997677</v>
      </c>
      <c r="T3" t="n">
        <v>13.13872171997677</v>
      </c>
      <c r="U3" s="6" t="n">
        <v>15.13872171997677</v>
      </c>
    </row>
    <row r="4">
      <c r="E4" s="6" t="n"/>
      <c r="F4" s="6" t="n"/>
      <c r="G4" s="6" t="n"/>
    </row>
    <row r="5">
      <c r="E5" s="6" t="n"/>
      <c r="F5" s="6" t="n"/>
      <c r="G5" s="6" t="n"/>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0.xml><?xml version="1.0" encoding="utf-8"?>
<worksheet xmlns="http://schemas.openxmlformats.org/spreadsheetml/2006/main">
  <sheetPr>
    <tabColor rgb="FF0000FF"/>
    <outlinePr summaryBelow="1" summaryRight="1"/>
    <pageSetUpPr/>
  </sheetPr>
  <dimension ref="A1:AB200"/>
  <sheetViews>
    <sheetView zoomScale="62" workbookViewId="0">
      <selection activeCell="S24" sqref="S24"/>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SO136-111</t>
        </is>
      </c>
      <c r="B2" s="12" t="n">
        <v>160.23</v>
      </c>
      <c r="C2" s="12" t="n">
        <v>-56.67</v>
      </c>
      <c r="D2" s="10" t="inlineStr">
        <is>
          <t>Diatom</t>
        </is>
      </c>
      <c r="E2" s="6" t="n"/>
      <c r="F2" s="6" t="n"/>
      <c r="G2" s="6" t="n"/>
      <c r="L2" t="n">
        <v>396</v>
      </c>
      <c r="M2" t="n">
        <v>3.81</v>
      </c>
      <c r="N2" t="n">
        <v>402</v>
      </c>
      <c r="O2" s="24" t="n"/>
      <c r="Q2" s="1" t="n"/>
      <c r="R2" t="n">
        <v>115910</v>
      </c>
      <c r="T2" t="n">
        <v>5.46</v>
      </c>
      <c r="V2" s="6" t="inlineStr">
        <is>
          <t>Crosta, X., A. Sturm, L. Armand, and J.-J. Pichon. 2004. Late Quaternary sea ice history in the Indian sector of the Southern Ocean as recorded by diatom assemblages. Marine Micropaleontology, 50, 209-223. doi: 10.1016/S0377-8398(03)00072-0</t>
        </is>
      </c>
      <c r="W2" s="13" t="inlineStr">
        <is>
          <t>https://www.ncei.noaa.gov/pub/data/paleo/contributions_by_author/crosta2004/crosta2004.txt</t>
        </is>
      </c>
      <c r="Y2" s="6" t="inlineStr">
        <is>
          <t xml:space="preserve">NOTE: SST is February reconstruction.
A Modern Analog Technique (MAT5201/31) has been applied to fossil diatom assemblages to provide down-core estimates of February sea-surface temperatures (SSTs) </t>
        </is>
      </c>
      <c r="Z2" t="n">
        <v>-3912</v>
      </c>
    </row>
    <row r="3">
      <c r="E3" s="6" t="n"/>
      <c r="F3" s="6" t="n"/>
      <c r="G3" s="6" t="n"/>
      <c r="L3" t="n">
        <v>401</v>
      </c>
      <c r="M3" t="n">
        <v>2.9</v>
      </c>
      <c r="N3" t="n">
        <v>406</v>
      </c>
      <c r="O3" s="24" t="n"/>
      <c r="Q3" s="1" t="n"/>
      <c r="R3" t="n">
        <v>116470</v>
      </c>
      <c r="T3" t="n">
        <v>5.03</v>
      </c>
    </row>
    <row r="4">
      <c r="E4" s="6" t="n"/>
      <c r="F4" s="6" t="n"/>
      <c r="G4" s="6" t="n"/>
      <c r="L4" t="n">
        <v>406</v>
      </c>
      <c r="M4" t="n">
        <v>3.06</v>
      </c>
      <c r="N4" t="n">
        <v>410</v>
      </c>
      <c r="Q4" s="1" t="n"/>
      <c r="R4" t="n">
        <v>117040</v>
      </c>
      <c r="T4" t="n">
        <v>5.7</v>
      </c>
    </row>
    <row r="5">
      <c r="E5" s="6" t="n"/>
      <c r="F5" s="6" t="n"/>
      <c r="G5" s="6" t="n"/>
      <c r="L5" t="n">
        <v>411</v>
      </c>
      <c r="M5" t="n">
        <v>2.75</v>
      </c>
      <c r="N5" t="n">
        <v>414</v>
      </c>
      <c r="Q5" s="1" t="n"/>
      <c r="R5" t="n">
        <v>117610</v>
      </c>
      <c r="T5" t="n">
        <v>5.24</v>
      </c>
    </row>
    <row r="6">
      <c r="L6" t="n">
        <v>416</v>
      </c>
      <c r="M6" t="n">
        <v>2.62</v>
      </c>
      <c r="N6" t="n">
        <v>420</v>
      </c>
      <c r="Q6" s="1" t="n"/>
      <c r="R6" t="n">
        <v>118460</v>
      </c>
      <c r="T6" t="n">
        <v>5.01</v>
      </c>
    </row>
    <row r="7">
      <c r="L7" t="n">
        <v>421</v>
      </c>
      <c r="M7" t="n">
        <v>2.65</v>
      </c>
      <c r="N7" t="n">
        <v>424</v>
      </c>
      <c r="Q7" s="1" t="n"/>
      <c r="R7" t="n">
        <v>119030</v>
      </c>
      <c r="T7" t="n">
        <v>5.13</v>
      </c>
    </row>
    <row r="8">
      <c r="L8" t="n">
        <v>426</v>
      </c>
      <c r="M8" t="n">
        <v>2.69</v>
      </c>
      <c r="N8" t="n">
        <v>430</v>
      </c>
      <c r="Q8" s="1" t="n"/>
      <c r="R8" t="n">
        <v>119880</v>
      </c>
      <c r="T8" t="n">
        <v>5.55</v>
      </c>
    </row>
    <row r="9">
      <c r="L9" t="n">
        <v>431</v>
      </c>
      <c r="M9" t="n">
        <v>2.66</v>
      </c>
      <c r="N9" t="n">
        <v>434</v>
      </c>
      <c r="Q9" s="1" t="n"/>
      <c r="R9" t="n">
        <v>120450</v>
      </c>
      <c r="T9" t="n">
        <v>5.17</v>
      </c>
    </row>
    <row r="10">
      <c r="L10" t="n">
        <v>436</v>
      </c>
      <c r="M10" t="n">
        <v>2.77</v>
      </c>
      <c r="N10" t="n">
        <v>440</v>
      </c>
      <c r="Q10" s="1" t="n"/>
      <c r="R10" t="n">
        <v>121310</v>
      </c>
      <c r="T10" t="n">
        <v>4.87</v>
      </c>
    </row>
    <row r="11">
      <c r="L11" t="n">
        <v>441</v>
      </c>
      <c r="M11" t="n">
        <v>2.66</v>
      </c>
      <c r="N11" t="n">
        <v>444</v>
      </c>
      <c r="Q11" s="1" t="n"/>
      <c r="R11" t="n">
        <v>121870</v>
      </c>
      <c r="T11" t="n">
        <v>5.24</v>
      </c>
    </row>
    <row r="12">
      <c r="L12" t="n">
        <v>446</v>
      </c>
      <c r="M12" t="n">
        <v>2.81</v>
      </c>
      <c r="N12" t="n">
        <v>450</v>
      </c>
      <c r="Q12" s="1" t="n"/>
      <c r="R12" t="n">
        <v>122730</v>
      </c>
      <c r="T12" t="n">
        <v>4.98</v>
      </c>
    </row>
    <row r="13">
      <c r="L13" t="n">
        <v>451</v>
      </c>
      <c r="M13" t="n">
        <v>2.77</v>
      </c>
      <c r="N13" t="n">
        <v>454</v>
      </c>
      <c r="Q13" s="1" t="n"/>
      <c r="R13" t="n">
        <v>123290</v>
      </c>
      <c r="T13" t="n">
        <v>4.4</v>
      </c>
    </row>
    <row r="14">
      <c r="L14" t="n">
        <v>456</v>
      </c>
      <c r="M14" t="n">
        <v>2.84</v>
      </c>
      <c r="N14" t="n">
        <v>460</v>
      </c>
      <c r="Q14" s="1" t="n"/>
      <c r="R14" t="n">
        <v>124150</v>
      </c>
      <c r="T14" t="n">
        <v>4.25</v>
      </c>
    </row>
    <row r="15">
      <c r="L15" t="n">
        <v>461</v>
      </c>
      <c r="M15" t="n">
        <v>2.81</v>
      </c>
      <c r="N15" t="n">
        <v>464</v>
      </c>
      <c r="Q15" s="1" t="n"/>
      <c r="R15" t="n">
        <v>124720</v>
      </c>
      <c r="T15" t="n">
        <v>6.07</v>
      </c>
    </row>
    <row r="16">
      <c r="L16" t="n">
        <v>466</v>
      </c>
      <c r="M16" t="n">
        <v>2.87</v>
      </c>
      <c r="N16" t="n">
        <v>470</v>
      </c>
      <c r="Q16" s="1" t="n"/>
      <c r="R16" t="n">
        <v>126180</v>
      </c>
      <c r="T16" t="n">
        <v>5.36</v>
      </c>
    </row>
    <row r="17">
      <c r="L17" t="n">
        <v>471</v>
      </c>
      <c r="M17" t="n">
        <v>3.13</v>
      </c>
      <c r="N17" t="n">
        <v>474</v>
      </c>
      <c r="Q17" s="1" t="n"/>
      <c r="R17" t="n">
        <v>127360</v>
      </c>
      <c r="T17" t="n">
        <v>5.84</v>
      </c>
    </row>
    <row r="18">
      <c r="L18" t="n">
        <v>476</v>
      </c>
      <c r="M18" t="n">
        <v>3.19</v>
      </c>
      <c r="N18" t="n">
        <v>480</v>
      </c>
      <c r="Q18" s="1" t="n"/>
      <c r="R18" t="n">
        <v>129140</v>
      </c>
      <c r="T18" t="n">
        <v>5.81</v>
      </c>
    </row>
    <row r="19">
      <c r="L19" t="n">
        <v>481</v>
      </c>
      <c r="M19" t="n">
        <v>3.72</v>
      </c>
      <c r="N19" t="n">
        <v>484</v>
      </c>
      <c r="Q19" s="1" t="n"/>
      <c r="R19" t="n">
        <v>130320</v>
      </c>
      <c r="T19" t="n">
        <v>3.84</v>
      </c>
    </row>
    <row r="20">
      <c r="L20" t="n">
        <v>486</v>
      </c>
      <c r="N20" t="n">
        <v>490</v>
      </c>
      <c r="Q20" s="1" t="n"/>
      <c r="R20" t="n">
        <v>132090</v>
      </c>
      <c r="T20" t="n">
        <v>3.34</v>
      </c>
    </row>
    <row r="21">
      <c r="L21" t="n">
        <v>486</v>
      </c>
      <c r="M21" t="n">
        <v>4.14</v>
      </c>
      <c r="N21" t="n">
        <v>494</v>
      </c>
      <c r="Q21" s="1" t="n"/>
      <c r="R21" t="n">
        <v>133270</v>
      </c>
      <c r="T21" t="n">
        <v>2.78</v>
      </c>
    </row>
    <row r="22">
      <c r="L22" t="n">
        <v>496</v>
      </c>
      <c r="M22" t="n">
        <v>4.33</v>
      </c>
      <c r="N22" t="n">
        <v>500</v>
      </c>
      <c r="Q22" s="1" t="n"/>
      <c r="R22" t="n">
        <v>135040</v>
      </c>
      <c r="T22" t="n">
        <v>3.62</v>
      </c>
    </row>
    <row r="23">
      <c r="L23" t="n">
        <v>501</v>
      </c>
      <c r="M23" t="n">
        <v>4.52</v>
      </c>
      <c r="N23" t="n">
        <v>504</v>
      </c>
      <c r="Q23" s="1" t="n"/>
      <c r="R23" t="n">
        <v>138930</v>
      </c>
      <c r="T23" t="n">
        <v>1.76</v>
      </c>
    </row>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1.xml><?xml version="1.0" encoding="utf-8"?>
<worksheet xmlns="http://schemas.openxmlformats.org/spreadsheetml/2006/main">
  <sheetPr>
    <tabColor rgb="FF0000FF"/>
    <outlinePr summaryBelow="1" summaryRight="1"/>
    <pageSetUpPr/>
  </sheetPr>
  <dimension ref="A1:AB200"/>
  <sheetViews>
    <sheetView zoomScale="62" workbookViewId="0">
      <selection activeCell="Q15" sqref="Q15"/>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MD02-2575</t>
        </is>
      </c>
      <c r="B2" s="12" t="n">
        <v>-87.11888999999999</v>
      </c>
      <c r="C2" s="12" t="n">
        <v>29.00167</v>
      </c>
      <c r="D2" s="10" t="inlineStr">
        <is>
          <t>MgCa</t>
        </is>
      </c>
      <c r="E2" s="6" t="n"/>
      <c r="F2" s="6" t="n"/>
      <c r="G2" s="6" t="n"/>
      <c r="L2" t="n">
        <v>1405</v>
      </c>
      <c r="M2" t="n">
        <v>-0.747</v>
      </c>
      <c r="N2" t="n">
        <v>1405</v>
      </c>
      <c r="O2" t="n">
        <v>4.266</v>
      </c>
      <c r="P2" t="n">
        <v>26.87</v>
      </c>
      <c r="R2" t="n">
        <v>114000</v>
      </c>
      <c r="T2" t="n">
        <v>26.87</v>
      </c>
      <c r="V2" s="6" t="inlineStr">
        <is>
          <t>Nürnberg, D., M. Ziegler, C. Karas, R. Tiedemann, and M. Schmidt. 2008. Interacting Loop Current variability and Mississippi River discharge over the past 400 kyr. Earth and Planetary Science Letters, 272(1-2), 278-289. doi: 10.1016/j.epsl.2008.04.051</t>
        </is>
      </c>
      <c r="W2" s="13" t="inlineStr">
        <is>
          <t>https://www.ncei.noaa.gov/pub/data/paleo/paleocean/sediment_files/complete/md2-2575-tab.txt</t>
        </is>
      </c>
      <c r="Y2" s="6" t="inlineStr">
        <is>
          <t>The data link provides "delta d18O PDB" time series from two species: Globigerinoides ruber (white) and Uvigerina peregrina. However, because G. ruber is used to provide the Mg/Ca ratio which is used to infer SST, the d18O column in this spreadsheet uses the delta d18O PDB data from G. ruber. The U. peregrina time series is still available through the data link.</t>
        </is>
      </c>
      <c r="Z2" t="n">
        <v>-847</v>
      </c>
    </row>
    <row r="3">
      <c r="E3" s="6" t="n"/>
      <c r="F3" s="6" t="n"/>
      <c r="G3" s="6" t="n"/>
      <c r="L3" t="n">
        <v>1410</v>
      </c>
      <c r="M3" t="n">
        <v>-0.469</v>
      </c>
      <c r="N3" t="n">
        <v>1410</v>
      </c>
      <c r="O3" t="n">
        <v>4.108</v>
      </c>
      <c r="P3" t="n">
        <v>26.45</v>
      </c>
      <c r="R3" t="n">
        <v>115667</v>
      </c>
      <c r="T3" t="n">
        <v>26.45</v>
      </c>
    </row>
    <row r="4">
      <c r="E4" s="6" t="n"/>
      <c r="F4" s="6" t="n"/>
      <c r="G4" s="6" t="n"/>
      <c r="L4" t="n">
        <v>1415</v>
      </c>
      <c r="M4" t="n">
        <v>-1.614</v>
      </c>
      <c r="N4" t="n">
        <v>1415</v>
      </c>
      <c r="O4" t="n">
        <v>4.397</v>
      </c>
      <c r="P4" t="n">
        <v>27.21</v>
      </c>
      <c r="R4" t="n">
        <v>117333</v>
      </c>
      <c r="T4" t="n">
        <v>27.21</v>
      </c>
    </row>
    <row r="5">
      <c r="E5" s="6" t="n"/>
      <c r="F5" s="6" t="n"/>
      <c r="G5" s="6" t="n"/>
      <c r="L5" t="n">
        <v>1420</v>
      </c>
      <c r="M5" t="n">
        <v>-1.32</v>
      </c>
      <c r="N5" t="n">
        <v>1420</v>
      </c>
      <c r="O5" t="n">
        <v>4.116</v>
      </c>
      <c r="P5" t="n">
        <v>26.47</v>
      </c>
      <c r="R5" t="n">
        <v>119000</v>
      </c>
      <c r="T5" t="n">
        <v>26.47</v>
      </c>
    </row>
    <row r="6">
      <c r="L6" t="n">
        <v>1425</v>
      </c>
      <c r="M6" t="n">
        <v>-1.474</v>
      </c>
      <c r="N6" t="n">
        <v>1425</v>
      </c>
      <c r="O6" t="n">
        <v>4.675</v>
      </c>
      <c r="P6" t="n">
        <v>27.89</v>
      </c>
      <c r="R6" t="n">
        <v>119727</v>
      </c>
      <c r="T6" t="n">
        <v>27.89</v>
      </c>
    </row>
    <row r="7">
      <c r="L7" t="n">
        <v>1430</v>
      </c>
      <c r="M7" t="n">
        <v>-1.369</v>
      </c>
      <c r="N7" t="n">
        <v>1430</v>
      </c>
      <c r="O7" t="n">
        <v>5.19</v>
      </c>
      <c r="P7" t="n">
        <v>29.05</v>
      </c>
      <c r="R7" t="n">
        <v>120455</v>
      </c>
      <c r="T7" t="n">
        <v>29.05</v>
      </c>
    </row>
    <row r="8">
      <c r="L8" t="n">
        <v>1435</v>
      </c>
      <c r="M8" t="n">
        <v>-1.926</v>
      </c>
      <c r="N8" t="n">
        <v>1435</v>
      </c>
      <c r="O8" t="n">
        <v>5.6</v>
      </c>
      <c r="P8" t="n">
        <v>29.89</v>
      </c>
      <c r="R8" t="n">
        <v>121182</v>
      </c>
      <c r="T8" t="n">
        <v>29.89</v>
      </c>
    </row>
    <row r="9">
      <c r="L9" t="n">
        <v>1440</v>
      </c>
      <c r="M9" t="n">
        <v>-1.652</v>
      </c>
      <c r="N9" t="n">
        <v>1440</v>
      </c>
      <c r="O9" t="n">
        <v>5.02</v>
      </c>
      <c r="P9" t="n">
        <v>28.68</v>
      </c>
      <c r="R9" t="n">
        <v>121909</v>
      </c>
      <c r="T9" t="n">
        <v>28.68</v>
      </c>
    </row>
    <row r="10">
      <c r="L10" t="n">
        <v>1445</v>
      </c>
      <c r="M10" t="n">
        <v>-1.684</v>
      </c>
      <c r="N10" t="n">
        <v>1445</v>
      </c>
      <c r="O10" t="n">
        <v>5.09</v>
      </c>
      <c r="P10" t="n">
        <v>28.83</v>
      </c>
      <c r="R10" t="n">
        <v>122636</v>
      </c>
      <c r="T10" t="n">
        <v>28.83</v>
      </c>
    </row>
    <row r="11">
      <c r="L11" t="n">
        <v>1450</v>
      </c>
      <c r="M11" t="n">
        <v>-1.638</v>
      </c>
      <c r="N11" t="n">
        <v>1450</v>
      </c>
      <c r="O11" t="n">
        <v>4.969</v>
      </c>
      <c r="P11" t="n">
        <v>28.56</v>
      </c>
      <c r="R11" t="n">
        <v>123364</v>
      </c>
      <c r="T11" t="n">
        <v>28.56</v>
      </c>
    </row>
    <row r="12">
      <c r="L12" t="n">
        <v>1455</v>
      </c>
      <c r="M12" t="n">
        <v>-1.539</v>
      </c>
      <c r="N12" t="n">
        <v>1455</v>
      </c>
      <c r="O12" t="n">
        <v>4.813</v>
      </c>
      <c r="P12" t="n">
        <v>28.21</v>
      </c>
      <c r="R12" t="n">
        <v>124091</v>
      </c>
      <c r="T12" t="n">
        <v>28.21</v>
      </c>
    </row>
    <row r="13">
      <c r="L13" t="n">
        <v>1460</v>
      </c>
      <c r="M13" t="n">
        <v>-1.807</v>
      </c>
      <c r="N13" t="n">
        <v>1460</v>
      </c>
      <c r="O13" t="n">
        <v>4.934</v>
      </c>
      <c r="P13" t="n">
        <v>28.49</v>
      </c>
      <c r="R13" t="n">
        <v>124818</v>
      </c>
      <c r="T13" t="n">
        <v>28.49</v>
      </c>
    </row>
    <row r="14">
      <c r="L14" t="n">
        <v>1465</v>
      </c>
      <c r="M14" t="n">
        <v>-1.942</v>
      </c>
      <c r="N14" t="n">
        <v>1465</v>
      </c>
      <c r="O14" t="n">
        <v>4.938</v>
      </c>
      <c r="P14" t="n">
        <v>28.49</v>
      </c>
      <c r="R14" t="n">
        <v>125545</v>
      </c>
      <c r="T14" t="n">
        <v>28.49</v>
      </c>
    </row>
    <row r="15">
      <c r="L15" t="n">
        <v>1470</v>
      </c>
      <c r="M15" t="n">
        <v>-1.756</v>
      </c>
      <c r="N15" t="n">
        <v>1470</v>
      </c>
      <c r="O15" t="n">
        <v>4.593</v>
      </c>
      <c r="P15" t="n">
        <v>27.69</v>
      </c>
      <c r="R15" t="n">
        <v>126273</v>
      </c>
      <c r="T15" t="n">
        <v>27.69</v>
      </c>
    </row>
    <row r="16">
      <c r="L16" t="n">
        <v>1475</v>
      </c>
      <c r="M16" t="n">
        <v>-1.838</v>
      </c>
      <c r="N16" t="n">
        <v>1475</v>
      </c>
      <c r="O16" t="n">
        <v>4.299</v>
      </c>
      <c r="P16" t="n">
        <v>26.96</v>
      </c>
      <c r="R16" t="n">
        <v>127000</v>
      </c>
      <c r="T16" t="n">
        <v>26.96</v>
      </c>
    </row>
    <row r="17">
      <c r="L17" t="n">
        <v>1480</v>
      </c>
      <c r="M17" t="n">
        <v>-1.877</v>
      </c>
      <c r="N17" t="n">
        <v>1480</v>
      </c>
      <c r="O17" t="n">
        <v>4.59</v>
      </c>
      <c r="P17" t="n">
        <v>27.68</v>
      </c>
      <c r="R17" t="n">
        <v>127727</v>
      </c>
      <c r="T17" t="n">
        <v>27.68</v>
      </c>
    </row>
    <row r="18">
      <c r="L18" t="n">
        <v>1485</v>
      </c>
      <c r="M18" t="n">
        <v>-0.864</v>
      </c>
      <c r="N18" t="n">
        <v>1485</v>
      </c>
      <c r="O18" t="n">
        <v>3.857</v>
      </c>
      <c r="P18" t="n">
        <v>25.75</v>
      </c>
      <c r="R18" t="n">
        <v>128455</v>
      </c>
      <c r="T18" t="n">
        <v>25.75</v>
      </c>
    </row>
    <row r="19">
      <c r="L19" t="n">
        <v>1490</v>
      </c>
      <c r="M19" t="n">
        <v>-0.888</v>
      </c>
      <c r="N19" t="n">
        <v>1490</v>
      </c>
      <c r="O19" t="n">
        <v>4.022</v>
      </c>
      <c r="P19" t="n">
        <v>26.22</v>
      </c>
      <c r="R19" t="n">
        <v>129182</v>
      </c>
      <c r="T19" t="n">
        <v>26.22</v>
      </c>
    </row>
    <row r="20">
      <c r="L20" t="n">
        <v>1495</v>
      </c>
      <c r="M20" t="n">
        <v>-0.459</v>
      </c>
      <c r="N20" t="n">
        <v>1495</v>
      </c>
      <c r="O20" t="n">
        <v>4.217</v>
      </c>
      <c r="P20" t="n">
        <v>26.74</v>
      </c>
      <c r="R20" t="n">
        <v>129909</v>
      </c>
      <c r="T20" t="n">
        <v>26.74</v>
      </c>
    </row>
    <row r="21">
      <c r="L21" t="n">
        <v>1498</v>
      </c>
      <c r="M21" t="n">
        <v>-0.98</v>
      </c>
      <c r="N21" t="n">
        <v>1498</v>
      </c>
      <c r="O21" t="n">
        <v>4.084</v>
      </c>
      <c r="P21" t="n">
        <v>26.39</v>
      </c>
      <c r="R21" t="n">
        <v>130345</v>
      </c>
      <c r="T21" t="n">
        <v>26.39</v>
      </c>
    </row>
    <row r="22">
      <c r="L22" t="n">
        <v>1502</v>
      </c>
      <c r="M22" t="n">
        <v>0.7</v>
      </c>
      <c r="N22" t="n">
        <v>1502</v>
      </c>
      <c r="O22" t="n">
        <v>4.208</v>
      </c>
      <c r="P22" t="n">
        <v>26.72</v>
      </c>
      <c r="R22" t="n">
        <v>130927</v>
      </c>
      <c r="T22" t="n">
        <v>26.72</v>
      </c>
    </row>
    <row r="23">
      <c r="L23" t="n">
        <v>1505</v>
      </c>
      <c r="M23" t="n">
        <v>0.206</v>
      </c>
      <c r="N23" t="n">
        <v>1505</v>
      </c>
      <c r="O23" t="n">
        <v>4.091</v>
      </c>
      <c r="P23" t="n">
        <v>26.4</v>
      </c>
      <c r="R23" t="n">
        <v>131364</v>
      </c>
      <c r="T23" t="n">
        <v>26.4</v>
      </c>
    </row>
    <row r="24">
      <c r="L24" t="n">
        <v>1510</v>
      </c>
      <c r="M24" t="n">
        <v>0.709</v>
      </c>
      <c r="N24" t="n">
        <v>1510</v>
      </c>
      <c r="O24" t="n">
        <v>3.875</v>
      </c>
      <c r="P24" t="n">
        <v>25.8</v>
      </c>
      <c r="R24" t="n">
        <v>132091</v>
      </c>
      <c r="T24" t="n">
        <v>25.8</v>
      </c>
    </row>
    <row r="25">
      <c r="L25" t="n">
        <v>1515</v>
      </c>
      <c r="M25" t="n">
        <v>0.538</v>
      </c>
      <c r="N25" t="n">
        <v>1515</v>
      </c>
      <c r="O25" t="n">
        <v>3.59</v>
      </c>
      <c r="P25" t="n">
        <v>24.95</v>
      </c>
      <c r="R25" t="n">
        <v>132818</v>
      </c>
      <c r="T25" t="n">
        <v>24.95</v>
      </c>
    </row>
    <row r="26">
      <c r="L26" t="n">
        <v>1520</v>
      </c>
      <c r="M26" t="n">
        <v>-0.358</v>
      </c>
      <c r="N26" t="n">
        <v>1520</v>
      </c>
      <c r="O26" t="n">
        <v>3.99</v>
      </c>
      <c r="P26" t="n">
        <v>26.13</v>
      </c>
      <c r="R26" t="n">
        <v>133545</v>
      </c>
      <c r="T26" t="n">
        <v>26.13</v>
      </c>
    </row>
    <row r="27">
      <c r="L27" t="n">
        <v>1525</v>
      </c>
      <c r="M27" t="n">
        <v>0.717</v>
      </c>
      <c r="N27" t="n">
        <v>1525</v>
      </c>
      <c r="O27" t="n">
        <v>3.694</v>
      </c>
      <c r="P27" t="n">
        <v>25.27</v>
      </c>
      <c r="R27" t="n">
        <v>134273</v>
      </c>
      <c r="T27" t="n">
        <v>25.27</v>
      </c>
    </row>
    <row r="28">
      <c r="L28" t="n">
        <v>1530</v>
      </c>
      <c r="M28" t="n">
        <v>1.188</v>
      </c>
      <c r="N28" t="n">
        <v>1530</v>
      </c>
      <c r="O28" t="n">
        <v>3.464</v>
      </c>
      <c r="P28" t="n">
        <v>24.56</v>
      </c>
      <c r="R28" t="n">
        <v>135000</v>
      </c>
      <c r="T28" t="n">
        <v>24.56</v>
      </c>
    </row>
    <row r="29">
      <c r="L29" t="n">
        <v>1535</v>
      </c>
      <c r="M29" t="n">
        <v>0.605</v>
      </c>
      <c r="N29" t="n">
        <v>1535</v>
      </c>
      <c r="O29" t="n">
        <v>3.705</v>
      </c>
      <c r="P29" t="n">
        <v>25.3</v>
      </c>
      <c r="R29" t="n">
        <v>135652</v>
      </c>
      <c r="T29" t="n">
        <v>25.3</v>
      </c>
    </row>
    <row r="30">
      <c r="L30" t="n">
        <v>1540</v>
      </c>
      <c r="M30" t="n">
        <v>0.311</v>
      </c>
      <c r="N30" t="n">
        <v>1540</v>
      </c>
      <c r="O30" t="n">
        <v>3.632</v>
      </c>
      <c r="P30" t="n">
        <v>25.08</v>
      </c>
      <c r="R30" t="n">
        <v>136304</v>
      </c>
      <c r="T30" t="n">
        <v>25.08</v>
      </c>
    </row>
    <row r="31">
      <c r="L31" t="n">
        <v>1545</v>
      </c>
      <c r="M31" t="n">
        <v>0.858</v>
      </c>
      <c r="N31" t="n">
        <v>1545</v>
      </c>
      <c r="O31" t="n">
        <v>3.642</v>
      </c>
      <c r="P31" t="n">
        <v>25.11</v>
      </c>
      <c r="R31" t="n">
        <v>136957</v>
      </c>
      <c r="T31" t="n">
        <v>25.11</v>
      </c>
    </row>
    <row r="32">
      <c r="L32" t="n">
        <v>1550</v>
      </c>
      <c r="M32" t="n">
        <v>0.944</v>
      </c>
      <c r="N32" t="n">
        <v>1550</v>
      </c>
      <c r="O32" t="n">
        <v>3.473</v>
      </c>
      <c r="P32" t="n">
        <v>24.58</v>
      </c>
      <c r="R32" t="n">
        <v>137609</v>
      </c>
      <c r="T32" t="n">
        <v>24.58</v>
      </c>
    </row>
    <row r="33">
      <c r="L33" t="n">
        <v>1555</v>
      </c>
      <c r="M33" t="n">
        <v>0.921</v>
      </c>
      <c r="N33" t="n">
        <v>1555</v>
      </c>
      <c r="O33" t="n">
        <v>3.649</v>
      </c>
      <c r="P33" t="n">
        <v>25.13</v>
      </c>
      <c r="R33" t="n">
        <v>138261</v>
      </c>
      <c r="T33" t="n">
        <v>25.13</v>
      </c>
    </row>
    <row r="34">
      <c r="L34" t="n">
        <v>1565</v>
      </c>
      <c r="M34" t="n">
        <v>0.643</v>
      </c>
      <c r="N34" t="n">
        <v>1565</v>
      </c>
      <c r="O34" t="n">
        <v>3.861</v>
      </c>
      <c r="P34" t="n">
        <v>25.76</v>
      </c>
      <c r="R34" t="n">
        <v>139565</v>
      </c>
      <c r="T34" t="n">
        <v>25.76</v>
      </c>
    </row>
    <row r="35">
      <c r="L35" t="n">
        <v>1570</v>
      </c>
      <c r="M35" t="n">
        <v>0.732</v>
      </c>
      <c r="N35" t="n">
        <v>1570</v>
      </c>
      <c r="O35" t="n">
        <v>3.722</v>
      </c>
      <c r="P35" t="n">
        <v>25.35</v>
      </c>
      <c r="R35" t="n">
        <v>140217</v>
      </c>
      <c r="T35" t="n">
        <v>25.35</v>
      </c>
    </row>
    <row r="36">
      <c r="L36" t="n">
        <v>1575</v>
      </c>
      <c r="M36" t="n">
        <v>0.603</v>
      </c>
      <c r="N36" t="n">
        <v>1575</v>
      </c>
      <c r="O36" t="n">
        <v>3.871</v>
      </c>
      <c r="P36" t="n">
        <v>25.79</v>
      </c>
      <c r="R36" t="n">
        <v>140870</v>
      </c>
      <c r="T36" t="n">
        <v>25.79</v>
      </c>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legacyDrawing xmlns:r="http://schemas.openxmlformats.org/officeDocument/2006/relationships" r:id="anysvml"/>
</worksheet>
</file>

<file path=xl/worksheets/sheet12.xml><?xml version="1.0" encoding="utf-8"?>
<worksheet xmlns="http://schemas.openxmlformats.org/spreadsheetml/2006/main">
  <sheetPr>
    <tabColor rgb="FF0000FF"/>
    <outlinePr summaryBelow="1" summaryRight="1"/>
    <pageSetUpPr/>
  </sheetPr>
  <dimension ref="A1:AB200"/>
  <sheetViews>
    <sheetView topLeftCell="C1" zoomScale="88" workbookViewId="0">
      <selection activeCell="R18" sqref="R18"/>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RC10-62</t>
        </is>
      </c>
      <c r="B2" s="12" t="n">
        <v>-101.43</v>
      </c>
      <c r="C2" s="12" t="n">
        <v>3.2</v>
      </c>
      <c r="D2" s="10" t="inlineStr">
        <is>
          <t>Radiolaria</t>
        </is>
      </c>
      <c r="E2" s="6" t="n"/>
      <c r="F2" s="6" t="n"/>
      <c r="G2" s="6" t="n"/>
      <c r="N2" t="n">
        <v>240</v>
      </c>
      <c r="Q2" s="1" t="n"/>
      <c r="R2" t="n">
        <v>115839</v>
      </c>
      <c r="T2" t="n">
        <v>19.8</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https://www.ncei.noaa.gov/pub/data/paleo/contributions_by_author/pisias1997b/rc10-62_sst.ager</t>
        </is>
      </c>
      <c r="Z2" t="n">
        <v>-3120</v>
      </c>
    </row>
    <row r="3">
      <c r="E3" s="6" t="n"/>
      <c r="F3" s="6" t="n"/>
      <c r="G3" s="6" t="n"/>
      <c r="N3" t="n">
        <v>245</v>
      </c>
      <c r="Q3" s="1" t="n"/>
      <c r="R3" t="n">
        <v>118258</v>
      </c>
      <c r="T3" t="n">
        <v>19.87</v>
      </c>
    </row>
    <row r="4">
      <c r="E4" s="6" t="n"/>
      <c r="F4" s="6" t="n"/>
      <c r="G4" s="6" t="n"/>
      <c r="N4" t="n">
        <v>255</v>
      </c>
      <c r="Q4" s="1" t="n"/>
      <c r="R4" t="n">
        <v>121297</v>
      </c>
      <c r="T4" t="n">
        <v>20.52</v>
      </c>
    </row>
    <row r="5">
      <c r="E5" s="6" t="n"/>
      <c r="F5" s="6" t="n"/>
      <c r="G5" s="6" t="n"/>
      <c r="N5" t="n">
        <v>260</v>
      </c>
      <c r="Q5" s="1" t="n"/>
      <c r="R5" t="n">
        <v>122206</v>
      </c>
      <c r="T5" t="n">
        <v>19.67</v>
      </c>
    </row>
    <row r="6">
      <c r="N6" t="n">
        <v>265</v>
      </c>
      <c r="Q6" s="1" t="n"/>
      <c r="R6" t="n">
        <v>122987</v>
      </c>
      <c r="T6" t="n">
        <v>19.22</v>
      </c>
    </row>
    <row r="7">
      <c r="N7" t="n">
        <v>270</v>
      </c>
      <c r="Q7" s="1" t="n"/>
      <c r="R7" t="n">
        <v>124057</v>
      </c>
      <c r="T7" t="n">
        <v>20.09</v>
      </c>
    </row>
    <row r="8">
      <c r="N8" t="n">
        <v>285</v>
      </c>
      <c r="Q8" s="1" t="n"/>
      <c r="R8" t="n">
        <v>133885</v>
      </c>
      <c r="T8" t="n">
        <v>19.45</v>
      </c>
    </row>
    <row r="9">
      <c r="N9" t="n">
        <v>290</v>
      </c>
      <c r="Q9" s="1" t="n"/>
      <c r="R9" t="n">
        <v>137228</v>
      </c>
      <c r="T9" t="n">
        <v>16.49</v>
      </c>
    </row>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3.xml><?xml version="1.0" encoding="utf-8"?>
<worksheet xmlns="http://schemas.openxmlformats.org/spreadsheetml/2006/main">
  <sheetPr>
    <tabColor rgb="FF0000FF"/>
    <outlinePr summaryBelow="1" summaryRight="1"/>
    <pageSetUpPr/>
  </sheetPr>
  <dimension ref="A1:AB200"/>
  <sheetViews>
    <sheetView tabSelected="1" zoomScale="62" workbookViewId="0">
      <selection activeCell="N20" sqref="N20"/>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RC13-110</t>
        </is>
      </c>
      <c r="B2" s="12" t="n">
        <v>-96.08</v>
      </c>
      <c r="C2" s="12" t="n">
        <v>0.1</v>
      </c>
      <c r="D2" s="10" t="inlineStr">
        <is>
          <t>Radiolaria</t>
        </is>
      </c>
      <c r="E2" s="6" t="n"/>
      <c r="F2" s="6" t="n"/>
      <c r="G2" s="6" t="n"/>
      <c r="N2" t="n">
        <v>271</v>
      </c>
      <c r="R2" t="n">
        <v>117391</v>
      </c>
      <c r="T2" t="n">
        <v>24.61</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https://www.ncei.noaa.gov/pub/data/paleo/contributions_by_author/pisias1997b/rc13-110_sst.ager</t>
        </is>
      </c>
      <c r="Z2" t="n">
        <v>-3231</v>
      </c>
    </row>
    <row r="3">
      <c r="E3" s="6" t="n"/>
      <c r="F3" s="6" t="n"/>
      <c r="G3" s="6" t="n"/>
      <c r="N3" t="n">
        <v>281</v>
      </c>
      <c r="R3" t="n">
        <v>120845</v>
      </c>
      <c r="T3" t="n">
        <v>26.34</v>
      </c>
    </row>
    <row r="4">
      <c r="E4" s="6" t="n"/>
      <c r="F4" s="6" t="n"/>
      <c r="G4" s="6" t="n"/>
      <c r="N4" t="n">
        <v>291</v>
      </c>
      <c r="R4" t="n">
        <v>124516</v>
      </c>
      <c r="T4" t="n">
        <v>24.23</v>
      </c>
    </row>
    <row r="5">
      <c r="E5" s="6" t="n"/>
      <c r="F5" s="6" t="n"/>
      <c r="G5" s="6" t="n"/>
      <c r="N5" t="n">
        <v>301</v>
      </c>
      <c r="R5" t="n">
        <v>128516</v>
      </c>
      <c r="T5" t="n">
        <v>23.84</v>
      </c>
    </row>
    <row r="6">
      <c r="N6" t="n">
        <v>311</v>
      </c>
      <c r="R6" t="n">
        <v>132373</v>
      </c>
      <c r="T6" t="n">
        <v>23.42</v>
      </c>
    </row>
    <row r="7">
      <c r="N7" t="n">
        <v>321</v>
      </c>
      <c r="R7" t="n">
        <v>136841</v>
      </c>
      <c r="T7" t="n">
        <v>21.31</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tabColor rgb="FF0000FF"/>
    <outlinePr summaryBelow="1" summaryRight="1"/>
    <pageSetUpPr/>
  </sheetPr>
  <dimension ref="A1:AB200"/>
  <sheetViews>
    <sheetView zoomScale="62" workbookViewId="0">
      <selection activeCell="B3" sqref="B3"/>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RC13-115</t>
        </is>
      </c>
      <c r="B2" s="12" t="n">
        <v>-104.5</v>
      </c>
      <c r="C2" s="12" t="n">
        <v>-1.38</v>
      </c>
      <c r="D2" s="10" t="inlineStr">
        <is>
          <t>Radiolaria</t>
        </is>
      </c>
      <c r="E2" s="6" t="n"/>
      <c r="F2" s="6" t="n"/>
      <c r="G2" s="6" t="n"/>
      <c r="N2" t="n">
        <v>195</v>
      </c>
      <c r="R2" t="n">
        <v>115432</v>
      </c>
      <c r="T2" t="n">
        <v>23.91</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https://www.ncei.noaa.gov/pub/data/paleo/contributions_by_author/pisias1997b/rc13-115_sst.ager</t>
        </is>
      </c>
      <c r="Z2" t="n">
        <v>-3621</v>
      </c>
    </row>
    <row r="3">
      <c r="E3" s="6" t="n"/>
      <c r="F3" s="6" t="n"/>
      <c r="G3" s="6" t="n"/>
      <c r="N3" t="n">
        <v>205</v>
      </c>
      <c r="R3" t="n">
        <v>122109</v>
      </c>
      <c r="T3" t="n">
        <v>23.53</v>
      </c>
    </row>
    <row r="4">
      <c r="E4" s="6" t="n"/>
      <c r="F4" s="6" t="n"/>
      <c r="G4" s="6" t="n"/>
      <c r="N4" t="n">
        <v>210</v>
      </c>
      <c r="R4" t="n">
        <v>124773</v>
      </c>
      <c r="T4" t="n">
        <v>22.92</v>
      </c>
    </row>
    <row r="5">
      <c r="E5" s="6" t="n"/>
      <c r="F5" s="6" t="n"/>
      <c r="G5" s="6" t="n"/>
      <c r="N5" t="n">
        <v>215</v>
      </c>
      <c r="R5" t="n">
        <v>126515</v>
      </c>
      <c r="T5" t="n">
        <v>23.07</v>
      </c>
    </row>
    <row r="6">
      <c r="N6" t="n">
        <v>220</v>
      </c>
      <c r="R6" t="n">
        <v>128160</v>
      </c>
      <c r="T6" t="n">
        <v>22</v>
      </c>
    </row>
    <row r="7">
      <c r="N7" t="n">
        <v>225</v>
      </c>
      <c r="R7" t="n">
        <v>130350</v>
      </c>
      <c r="T7" t="n">
        <v>21.17</v>
      </c>
    </row>
    <row r="8">
      <c r="N8" t="n">
        <v>230</v>
      </c>
      <c r="R8" t="n">
        <v>135300</v>
      </c>
      <c r="T8" t="n">
        <v>22.93</v>
      </c>
    </row>
    <row r="9">
      <c r="N9" t="n">
        <v>235</v>
      </c>
      <c r="R9" t="n">
        <v>137850</v>
      </c>
      <c r="T9" t="n">
        <v>22.46</v>
      </c>
    </row>
    <row r="10">
      <c r="N10" t="n">
        <v>240</v>
      </c>
      <c r="R10" t="n">
        <v>140167</v>
      </c>
      <c r="T10" t="n">
        <v>22.98</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tabColor rgb="FF0000FF"/>
    <outlinePr summaryBelow="1" summaryRight="1"/>
    <pageSetUpPr/>
  </sheetPr>
  <dimension ref="A1:AB200"/>
  <sheetViews>
    <sheetView topLeftCell="B1" workbookViewId="0">
      <selection activeCell="B3" sqref="B3"/>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V19-29</t>
        </is>
      </c>
      <c r="B2" s="12" t="n">
        <v>-83.56999999999999</v>
      </c>
      <c r="C2" s="12" t="n">
        <v>-3.25</v>
      </c>
      <c r="D2" s="10" t="inlineStr">
        <is>
          <t>Radiolaria</t>
        </is>
      </c>
      <c r="E2" s="6" t="n"/>
      <c r="F2" s="6" t="n"/>
      <c r="G2" s="6" t="n"/>
      <c r="N2" s="25" t="n">
        <v>800</v>
      </c>
      <c r="R2" s="25" t="n">
        <v>117389</v>
      </c>
      <c r="T2" s="25" t="n">
        <v>19.32</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https://www.ncei.noaa.gov/pub/data/paleo/contributions_by_author/pisias1997b/v19-29_sst.ager</t>
        </is>
      </c>
      <c r="Z2" t="n">
        <v>-3159</v>
      </c>
    </row>
    <row r="3">
      <c r="E3" s="6" t="n"/>
      <c r="F3" s="6" t="n"/>
      <c r="G3" s="6" t="n"/>
      <c r="N3" s="25" t="n">
        <v>810</v>
      </c>
      <c r="R3" s="25" t="n">
        <v>120380</v>
      </c>
      <c r="T3" s="25" t="n">
        <v>22.07</v>
      </c>
    </row>
    <row r="4">
      <c r="E4" s="6" t="n"/>
      <c r="F4" s="6" t="n"/>
      <c r="G4" s="6" t="n"/>
      <c r="N4" s="25" t="n">
        <v>820</v>
      </c>
      <c r="R4" s="25" t="n">
        <v>122927</v>
      </c>
      <c r="T4" s="25" t="n">
        <v>21.82</v>
      </c>
    </row>
    <row r="5">
      <c r="E5" s="6" t="n"/>
      <c r="F5" s="6" t="n"/>
      <c r="G5" s="6" t="n"/>
      <c r="N5" s="25" t="n">
        <v>830</v>
      </c>
      <c r="R5" s="25" t="n">
        <v>124422</v>
      </c>
      <c r="T5" s="25" t="n">
        <v>21.32</v>
      </c>
    </row>
    <row r="6">
      <c r="N6" s="25" t="n">
        <v>840</v>
      </c>
      <c r="R6" s="25" t="n">
        <v>125837</v>
      </c>
      <c r="T6" s="25" t="n">
        <v>20.16</v>
      </c>
    </row>
    <row r="7">
      <c r="N7" s="25" t="n">
        <v>850</v>
      </c>
      <c r="R7" s="25" t="n">
        <v>127453</v>
      </c>
      <c r="T7" s="25" t="n">
        <v>21.85</v>
      </c>
    </row>
    <row r="8">
      <c r="N8" s="25" t="n">
        <v>860</v>
      </c>
      <c r="R8" s="25" t="n">
        <v>129052</v>
      </c>
      <c r="T8" s="25" t="n">
        <v>21.54</v>
      </c>
    </row>
    <row r="9">
      <c r="N9" s="25" t="n">
        <v>870</v>
      </c>
      <c r="R9" s="25" t="n">
        <v>130593</v>
      </c>
      <c r="T9" s="25" t="n">
        <v>21.14</v>
      </c>
    </row>
    <row r="10">
      <c r="N10" s="25" t="n">
        <v>890</v>
      </c>
      <c r="R10" s="25" t="n">
        <v>133534</v>
      </c>
      <c r="T10" s="25" t="n">
        <v>18.54</v>
      </c>
    </row>
    <row r="11">
      <c r="N11" s="25" t="n">
        <v>920</v>
      </c>
      <c r="R11" s="25" t="n">
        <v>137546</v>
      </c>
      <c r="T11" s="25" t="n">
        <v>19.65</v>
      </c>
    </row>
    <row r="12">
      <c r="N12" s="25" t="n">
        <v>930</v>
      </c>
      <c r="R12" s="25" t="n">
        <v>138652</v>
      </c>
      <c r="T12" s="25" t="n">
        <v>18.47</v>
      </c>
    </row>
    <row r="13">
      <c r="N13" s="25" t="n">
        <v>940</v>
      </c>
      <c r="R13" s="25" t="n">
        <v>139721</v>
      </c>
      <c r="T13" s="25" t="n">
        <v>18.38</v>
      </c>
    </row>
    <row r="14">
      <c r="N14" s="25" t="n">
        <v>950</v>
      </c>
      <c r="R14" s="25" t="n">
        <v>140857</v>
      </c>
      <c r="T14" s="25" t="n">
        <v>17.98</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6.xml><?xml version="1.0" encoding="utf-8"?>
<worksheet xmlns="http://schemas.openxmlformats.org/spreadsheetml/2006/main">
  <sheetPr>
    <tabColor rgb="FF0000FF"/>
    <outlinePr summaryBelow="1" summaryRight="1"/>
    <pageSetUpPr/>
  </sheetPr>
  <dimension ref="A1:AB200"/>
  <sheetViews>
    <sheetView zoomScale="91" workbookViewId="0">
      <selection activeCell="B3" sqref="B3"/>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VNTR1-8</t>
        </is>
      </c>
      <c r="B2" s="12" t="n">
        <v>-110.48</v>
      </c>
      <c r="C2" s="12" t="n">
        <v>0.03</v>
      </c>
      <c r="D2" s="10" t="inlineStr">
        <is>
          <t>Radiolaria</t>
        </is>
      </c>
      <c r="E2" s="6" t="n"/>
      <c r="F2" s="6" t="n"/>
      <c r="G2" s="6" t="n"/>
      <c r="N2" t="n">
        <v>267</v>
      </c>
      <c r="R2" t="n">
        <v>116600</v>
      </c>
      <c r="T2" t="n">
        <v>23.62</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https://www.ncei.noaa.gov/pub/data/paleo/contributions_by_author/pisias1997b/vntr1-8_sst.ager</t>
        </is>
      </c>
      <c r="Z2" t="n">
        <v>-3791</v>
      </c>
    </row>
    <row r="3">
      <c r="E3" s="6" t="n"/>
      <c r="F3" s="6" t="n"/>
      <c r="G3" s="6" t="n"/>
      <c r="N3" t="n">
        <v>272</v>
      </c>
      <c r="R3" t="n">
        <v>119600</v>
      </c>
      <c r="T3" t="n">
        <v>23.65</v>
      </c>
    </row>
    <row r="4">
      <c r="E4" s="6" t="n"/>
      <c r="F4" s="6" t="n"/>
      <c r="G4" s="6" t="n"/>
      <c r="N4" t="n">
        <v>277</v>
      </c>
      <c r="R4" t="n">
        <v>122371</v>
      </c>
      <c r="T4" t="n">
        <v>24.44</v>
      </c>
    </row>
    <row r="5">
      <c r="E5" s="6" t="n"/>
      <c r="F5" s="6" t="n"/>
      <c r="G5" s="6" t="n"/>
      <c r="N5" t="n">
        <v>282</v>
      </c>
      <c r="R5" t="n">
        <v>124229</v>
      </c>
      <c r="T5" t="n">
        <v>23.45</v>
      </c>
    </row>
    <row r="6">
      <c r="N6" t="n">
        <v>287</v>
      </c>
      <c r="R6" t="n">
        <v>126086</v>
      </c>
      <c r="T6" t="n">
        <v>23.89</v>
      </c>
    </row>
    <row r="7">
      <c r="N7" t="n">
        <v>292</v>
      </c>
      <c r="R7" t="n">
        <v>127943</v>
      </c>
      <c r="T7" t="n">
        <v>23.62</v>
      </c>
    </row>
    <row r="8">
      <c r="N8" t="n">
        <v>297</v>
      </c>
      <c r="R8" t="n">
        <v>129800</v>
      </c>
      <c r="T8" t="n">
        <v>24.07</v>
      </c>
    </row>
    <row r="9">
      <c r="N9" t="n">
        <v>302</v>
      </c>
      <c r="R9" t="n">
        <v>131657</v>
      </c>
      <c r="T9" t="n">
        <v>22.93</v>
      </c>
    </row>
    <row r="10">
      <c r="N10" t="n">
        <v>307</v>
      </c>
      <c r="R10" t="n">
        <v>133514</v>
      </c>
      <c r="T10" t="n">
        <v>23.2</v>
      </c>
    </row>
    <row r="11">
      <c r="N11" t="n">
        <v>312</v>
      </c>
      <c r="R11" t="n">
        <v>135271</v>
      </c>
      <c r="T11" t="n">
        <v>22.93</v>
      </c>
    </row>
    <row r="12">
      <c r="N12" t="n">
        <v>317</v>
      </c>
      <c r="R12" t="n">
        <v>136627</v>
      </c>
      <c r="T12" t="n">
        <v>21.96</v>
      </c>
    </row>
    <row r="13">
      <c r="N13" t="n">
        <v>322</v>
      </c>
      <c r="R13" t="n">
        <v>137983</v>
      </c>
      <c r="T13" t="n">
        <v>24.77</v>
      </c>
    </row>
    <row r="14">
      <c r="N14" t="n">
        <v>327</v>
      </c>
      <c r="R14" t="n">
        <v>139339</v>
      </c>
      <c r="T14" t="n">
        <v>23.11</v>
      </c>
    </row>
    <row r="15">
      <c r="N15" t="n">
        <v>332</v>
      </c>
      <c r="R15" t="n">
        <v>140695</v>
      </c>
      <c r="T15" t="n">
        <v>21.99</v>
      </c>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tabColor rgb="FF0000FF"/>
    <outlinePr summaryBelow="1" summaryRight="1"/>
    <pageSetUpPr/>
  </sheetPr>
  <dimension ref="A1:AB200"/>
  <sheetViews>
    <sheetView zoomScale="92" workbookViewId="0">
      <selection activeCell="B3" sqref="B3"/>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Y69-106P</t>
        </is>
      </c>
      <c r="B2" s="12" t="n">
        <v>-86.55</v>
      </c>
      <c r="C2" s="12" t="n">
        <v>2.98</v>
      </c>
      <c r="D2" s="10" t="inlineStr">
        <is>
          <t>Radiolaria</t>
        </is>
      </c>
      <c r="E2" s="6" t="n"/>
      <c r="F2" s="6" t="n"/>
      <c r="G2" s="6" t="n"/>
      <c r="N2" t="n">
        <v>221</v>
      </c>
      <c r="R2" t="n">
        <v>119553</v>
      </c>
      <c r="T2" t="n">
        <v>24.19</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https://www.ncei.noaa.gov/pub/data/paleo/contributions_by_author/pisias1997b/y69-106p_sst.ager</t>
        </is>
      </c>
      <c r="Z2" t="n">
        <v>-2870</v>
      </c>
    </row>
    <row r="3">
      <c r="E3" s="6" t="n"/>
      <c r="F3" s="6" t="n"/>
      <c r="G3" s="6" t="n"/>
      <c r="N3" t="n">
        <v>231</v>
      </c>
      <c r="R3" t="n">
        <v>122699</v>
      </c>
      <c r="T3" t="n">
        <v>23.7</v>
      </c>
    </row>
    <row r="4">
      <c r="E4" s="6" t="n"/>
      <c r="F4" s="6" t="n"/>
      <c r="G4" s="6" t="n"/>
      <c r="N4" t="n">
        <v>241</v>
      </c>
      <c r="R4" t="n">
        <v>126233</v>
      </c>
      <c r="T4" t="n">
        <v>24.13</v>
      </c>
    </row>
    <row r="5">
      <c r="E5" s="6" t="n"/>
      <c r="F5" s="6" t="n"/>
      <c r="G5" s="6" t="n"/>
      <c r="N5" t="n">
        <v>251</v>
      </c>
      <c r="R5" t="n">
        <v>129864</v>
      </c>
      <c r="T5" t="n">
        <v>25.21</v>
      </c>
    </row>
    <row r="6">
      <c r="N6" t="n">
        <v>262</v>
      </c>
      <c r="R6" t="n">
        <v>135330</v>
      </c>
      <c r="T6" t="n">
        <v>23.77</v>
      </c>
    </row>
    <row r="7">
      <c r="N7" t="n">
        <v>272</v>
      </c>
      <c r="R7" t="n">
        <v>139637</v>
      </c>
      <c r="T7" t="n">
        <v>23.2</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18.xml><?xml version="1.0" encoding="utf-8"?>
<worksheet xmlns="http://schemas.openxmlformats.org/spreadsheetml/2006/main">
  <sheetPr>
    <tabColor rgb="FF0000FF"/>
    <outlinePr summaryBelow="1" summaryRight="1"/>
    <pageSetUpPr/>
  </sheetPr>
  <dimension ref="A1:AB200"/>
  <sheetViews>
    <sheetView zoomScale="62" workbookViewId="0">
      <selection activeCell="B3" sqref="B3"/>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Y69-71P</t>
        </is>
      </c>
      <c r="B2" s="12" t="n">
        <v>-86.48</v>
      </c>
      <c r="C2" s="12" t="n">
        <v>0.1</v>
      </c>
      <c r="D2" s="10" t="inlineStr">
        <is>
          <t>Radiolaria</t>
        </is>
      </c>
      <c r="E2" s="6" t="n"/>
      <c r="F2" s="6" t="n"/>
      <c r="G2" s="6" t="n"/>
      <c r="N2" t="n">
        <v>800</v>
      </c>
      <c r="R2" t="n">
        <v>116545</v>
      </c>
      <c r="T2" t="n">
        <v>22.37</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https://www.ncei.noaa.gov/pub/data/paleo/contributions_by_author/pisias1997b/y69-71p_sst.ager</t>
        </is>
      </c>
      <c r="Z2" t="n">
        <v>-2740</v>
      </c>
    </row>
    <row r="3">
      <c r="E3" s="6" t="n"/>
      <c r="F3" s="6" t="n"/>
      <c r="G3" s="6" t="n"/>
      <c r="N3" t="n">
        <v>819</v>
      </c>
      <c r="R3" t="n">
        <v>121588</v>
      </c>
      <c r="T3" t="n">
        <v>22.47</v>
      </c>
    </row>
    <row r="4">
      <c r="E4" s="6" t="n"/>
      <c r="F4" s="6" t="n"/>
      <c r="G4" s="6" t="n"/>
      <c r="N4" t="n">
        <v>839</v>
      </c>
      <c r="R4" t="n">
        <v>125521</v>
      </c>
      <c r="T4" t="n">
        <v>22.58</v>
      </c>
    </row>
    <row r="5">
      <c r="E5" s="6" t="n"/>
      <c r="F5" s="6" t="n"/>
      <c r="G5" s="6" t="n"/>
      <c r="N5" t="n">
        <v>859</v>
      </c>
      <c r="R5" t="n">
        <v>129243</v>
      </c>
      <c r="T5" t="n">
        <v>22.34</v>
      </c>
    </row>
    <row r="6">
      <c r="N6" t="n">
        <v>919</v>
      </c>
      <c r="R6" t="n">
        <v>140317</v>
      </c>
      <c r="T6" t="n">
        <v>19.97</v>
      </c>
    </row>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19.xml><?xml version="1.0" encoding="utf-8"?>
<worksheet xmlns="http://schemas.openxmlformats.org/spreadsheetml/2006/main">
  <sheetPr>
    <tabColor rgb="FF0000FF"/>
    <outlinePr summaryBelow="1" summaryRight="1"/>
    <pageSetUpPr/>
  </sheetPr>
  <dimension ref="A1:AB200"/>
  <sheetViews>
    <sheetView zoomScale="62" workbookViewId="0">
      <selection activeCell="B3" sqref="B3"/>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Y71-3-2</t>
        </is>
      </c>
      <c r="B2" s="12" t="n">
        <v>-85.25</v>
      </c>
      <c r="C2" s="12" t="n">
        <v>7.28</v>
      </c>
      <c r="D2" s="10" t="inlineStr">
        <is>
          <t>Radiolaria</t>
        </is>
      </c>
      <c r="E2" s="6" t="n"/>
      <c r="F2" s="6" t="n"/>
      <c r="G2" s="6" t="n"/>
      <c r="N2" t="n">
        <v>370</v>
      </c>
      <c r="R2" t="n">
        <v>118765</v>
      </c>
      <c r="T2" t="n">
        <v>23.3</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https://www.ncei.noaa.gov/pub/data/paleo/contributions_by_author/pisias1997b/y71-3-2_sst.ager</t>
        </is>
      </c>
      <c r="Z2" t="n">
        <v>-2164</v>
      </c>
    </row>
    <row r="3">
      <c r="E3" s="6" t="n"/>
      <c r="F3" s="6" t="n"/>
      <c r="G3" s="6" t="n"/>
      <c r="N3" t="n">
        <v>380</v>
      </c>
      <c r="R3" t="n">
        <v>123622</v>
      </c>
      <c r="T3" t="n">
        <v>23.72</v>
      </c>
    </row>
    <row r="4">
      <c r="E4" s="6" t="n"/>
      <c r="F4" s="6" t="n"/>
      <c r="G4" s="6" t="n"/>
      <c r="N4" t="n">
        <v>390</v>
      </c>
      <c r="R4" t="n">
        <v>127567</v>
      </c>
      <c r="T4" t="n">
        <v>24.25</v>
      </c>
    </row>
    <row r="5">
      <c r="E5" s="6" t="n"/>
      <c r="F5" s="6" t="n"/>
      <c r="G5" s="6" t="n"/>
      <c r="N5" t="n">
        <v>400</v>
      </c>
      <c r="R5" t="n">
        <v>131287</v>
      </c>
      <c r="T5" t="n">
        <v>25.42</v>
      </c>
    </row>
    <row r="6">
      <c r="N6" t="n">
        <v>410</v>
      </c>
      <c r="R6" t="n">
        <v>135058</v>
      </c>
      <c r="T6" t="n">
        <v>24.15</v>
      </c>
    </row>
    <row r="7">
      <c r="N7" t="n">
        <v>420</v>
      </c>
      <c r="R7" t="n">
        <v>139001</v>
      </c>
      <c r="T7" t="n">
        <v>23.73</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20.xml><?xml version="1.0" encoding="utf-8"?>
<worksheet xmlns="http://schemas.openxmlformats.org/spreadsheetml/2006/main">
  <sheetPr>
    <tabColor rgb="FF0000FF"/>
    <outlinePr summaryBelow="1" summaryRight="1"/>
    <pageSetUpPr/>
  </sheetPr>
  <dimension ref="A1:AB200"/>
  <sheetViews>
    <sheetView zoomScale="62" workbookViewId="0">
      <selection activeCell="B3" sqref="B3"/>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Y71-9-101</t>
        </is>
      </c>
      <c r="B2" s="12" t="n">
        <v>-106.95</v>
      </c>
      <c r="C2" s="12" t="n">
        <v>-6.63</v>
      </c>
      <c r="D2" s="10" t="inlineStr">
        <is>
          <t>Radiolaria</t>
        </is>
      </c>
      <c r="E2" s="6" t="n"/>
      <c r="F2" s="6" t="n"/>
      <c r="G2" s="6" t="n"/>
      <c r="N2" t="n">
        <v>256</v>
      </c>
      <c r="R2" t="n">
        <v>117696</v>
      </c>
      <c r="T2" t="n">
        <v>22.99</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https://www.ncei.noaa.gov/pub/data/paleo/contributions_by_author/pisias1997b/y71-9-101_sst.ager</t>
        </is>
      </c>
      <c r="Z2" t="n">
        <v>-3175</v>
      </c>
    </row>
    <row r="3">
      <c r="E3" s="6" t="n"/>
      <c r="F3" s="6" t="n"/>
      <c r="G3" s="6" t="n"/>
      <c r="N3" t="n">
        <v>261</v>
      </c>
      <c r="R3" t="n">
        <v>120448</v>
      </c>
      <c r="T3" t="n">
        <v>23.93</v>
      </c>
    </row>
    <row r="4">
      <c r="E4" s="6" t="n"/>
      <c r="F4" s="6" t="n"/>
      <c r="G4" s="6" t="n"/>
      <c r="N4" t="n">
        <v>266</v>
      </c>
      <c r="R4" t="n">
        <v>122583</v>
      </c>
      <c r="T4" t="n">
        <v>23.19</v>
      </c>
    </row>
    <row r="5">
      <c r="E5" s="6" t="n"/>
      <c r="F5" s="6" t="n"/>
      <c r="G5" s="6" t="n"/>
      <c r="N5" t="n">
        <v>271</v>
      </c>
      <c r="R5" t="n">
        <v>124411</v>
      </c>
      <c r="T5" t="n">
        <v>22.54</v>
      </c>
    </row>
    <row r="6">
      <c r="N6" t="n">
        <v>276</v>
      </c>
      <c r="R6" t="n">
        <v>125935</v>
      </c>
      <c r="T6" t="n">
        <v>24.28</v>
      </c>
    </row>
    <row r="7">
      <c r="N7" t="n">
        <v>281</v>
      </c>
      <c r="R7" t="n">
        <v>127500</v>
      </c>
      <c r="T7" t="n">
        <v>23.8</v>
      </c>
    </row>
    <row r="8">
      <c r="N8" t="n">
        <v>286</v>
      </c>
      <c r="R8" t="n">
        <v>129248</v>
      </c>
      <c r="T8" t="n">
        <v>24.03</v>
      </c>
    </row>
    <row r="9">
      <c r="N9" t="n">
        <v>291</v>
      </c>
      <c r="R9" t="n">
        <v>131191</v>
      </c>
      <c r="T9" t="n">
        <v>22.37</v>
      </c>
    </row>
    <row r="10">
      <c r="N10" t="n">
        <v>296</v>
      </c>
      <c r="R10" t="n">
        <v>133409</v>
      </c>
      <c r="T10" t="n">
        <v>21.96</v>
      </c>
    </row>
    <row r="11">
      <c r="N11" t="n">
        <v>306</v>
      </c>
      <c r="R11" t="n">
        <v>138382</v>
      </c>
      <c r="T11" t="n">
        <v>23.09</v>
      </c>
    </row>
    <row r="12">
      <c r="N12" t="n">
        <v>311</v>
      </c>
      <c r="R12" t="n">
        <v>140938</v>
      </c>
      <c r="T12" t="n">
        <v>22.97</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21.xml><?xml version="1.0" encoding="utf-8"?>
<worksheet xmlns="http://schemas.openxmlformats.org/spreadsheetml/2006/main">
  <sheetPr>
    <tabColor rgb="FF0000FF"/>
    <outlinePr summaryBelow="1" summaryRight="1"/>
    <pageSetUpPr/>
  </sheetPr>
  <dimension ref="A1:AB200"/>
  <sheetViews>
    <sheetView zoomScale="62" workbookViewId="0">
      <selection activeCell="B3" sqref="B3"/>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Y71-6-12</t>
        </is>
      </c>
      <c r="B2" s="12" t="n">
        <v>-77.56999999999999</v>
      </c>
      <c r="C2" s="12" t="n">
        <v>-16.45</v>
      </c>
      <c r="D2" s="10" t="inlineStr">
        <is>
          <t>Radiolaria</t>
        </is>
      </c>
      <c r="E2" s="6" t="n"/>
      <c r="F2" s="6" t="n"/>
      <c r="G2" s="6" t="n"/>
      <c r="N2" t="n">
        <v>180</v>
      </c>
      <c r="R2" t="n">
        <v>115704</v>
      </c>
      <c r="T2" t="n">
        <v>17.82</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https://www.ncei.noaa.gov/pub/data/paleo/contributions_by_author/pisias1997b/y71-6-12_sst.ager</t>
        </is>
      </c>
      <c r="Z2" t="n">
        <v>-2734</v>
      </c>
    </row>
    <row r="3">
      <c r="E3" s="6" t="n"/>
      <c r="F3" s="6" t="n"/>
      <c r="G3" s="6" t="n"/>
      <c r="N3" t="n">
        <v>185</v>
      </c>
      <c r="R3" t="n">
        <v>120314</v>
      </c>
      <c r="T3" t="n">
        <v>17.91</v>
      </c>
    </row>
    <row r="4">
      <c r="E4" s="6" t="n"/>
      <c r="F4" s="6" t="n"/>
      <c r="G4" s="6" t="n"/>
      <c r="N4" t="n">
        <v>190</v>
      </c>
      <c r="R4" t="n">
        <v>128548</v>
      </c>
      <c r="T4" t="n">
        <v>14.93</v>
      </c>
    </row>
    <row r="5">
      <c r="E5" s="6" t="n"/>
      <c r="F5" s="6" t="n"/>
      <c r="G5" s="6" t="n"/>
      <c r="N5" t="n">
        <v>195</v>
      </c>
      <c r="R5" t="n">
        <v>134348</v>
      </c>
      <c r="T5" t="n">
        <v>14.53</v>
      </c>
    </row>
    <row r="6">
      <c r="N6" t="n">
        <v>200</v>
      </c>
      <c r="R6" t="n">
        <v>137932</v>
      </c>
      <c r="T6" t="n">
        <v>14.97</v>
      </c>
    </row>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22.xml><?xml version="1.0" encoding="utf-8"?>
<worksheet xmlns="http://schemas.openxmlformats.org/spreadsheetml/2006/main">
  <sheetPr>
    <tabColor rgb="FF0000FF"/>
    <outlinePr summaryBelow="1" summaryRight="1"/>
    <pageSetUpPr/>
  </sheetPr>
  <dimension ref="A1:AB200"/>
  <sheetViews>
    <sheetView topLeftCell="C1" zoomScale="70" workbookViewId="0">
      <selection activeCell="S15" sqref="S15"/>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ODP1239</t>
        </is>
      </c>
      <c r="B2" s="12" t="n">
        <v>-82.08083000000001</v>
      </c>
      <c r="C2" s="12" t="n">
        <v>-0.672</v>
      </c>
      <c r="D2" s="10" t="inlineStr">
        <is>
          <t>UK37</t>
        </is>
      </c>
      <c r="E2" s="6" t="n"/>
      <c r="F2" s="6" t="n"/>
      <c r="G2" s="6" t="n"/>
      <c r="L2" t="n">
        <v>3.3</v>
      </c>
      <c r="M2" t="n">
        <v>3.65</v>
      </c>
      <c r="Q2" s="1" t="n"/>
      <c r="R2" t="n">
        <v>115290</v>
      </c>
      <c r="T2" t="n">
        <v>26.45</v>
      </c>
      <c r="V2" s="6" t="inlineStr">
        <is>
          <t>Dyez, K.A., A.C. Ravelo, and A.C. Mix. 2016. Evaluating drivers of Pleistocene eastern tropical Pacific sea surface temperature. Paleoceanography, 31. doi: 10.1002/2015PA002873</t>
        </is>
      </c>
      <c r="W2" s="13" t="inlineStr">
        <is>
          <t>https://www.ncei.noaa.gov/pub/data/paleo/contributions_by_author/dyez2016/dyez2016-sst-merge.txt</t>
        </is>
      </c>
      <c r="X2" s="6" t="inlineStr">
        <is>
          <t>derived from alignment of benthic d18O with global LR04 stack</t>
        </is>
      </c>
      <c r="Y2" s="6" t="inlineStr">
        <is>
          <t>Stack is a synthesis of multiple studies.
SST derived from Uk'37 using Müller et al., 1998 calibration SST = (Uk'37 - 0.044) / 0.033
d18O: average of Uvigerina and Cibicidoides d18O, after Cibicidoides value was corrected for species offset</t>
        </is>
      </c>
      <c r="Z2" t="n">
        <v>-1414</v>
      </c>
    </row>
    <row r="3">
      <c r="E3" s="6" t="n"/>
      <c r="F3" s="6" t="n"/>
      <c r="G3" s="6" t="n"/>
      <c r="L3" t="n">
        <v>3.45</v>
      </c>
      <c r="M3" t="n">
        <v>3.43</v>
      </c>
      <c r="Q3" s="1" t="n"/>
      <c r="R3" t="n">
        <v>115830</v>
      </c>
      <c r="T3" t="n">
        <v>26.48</v>
      </c>
    </row>
    <row r="4">
      <c r="E4" s="6" t="n"/>
      <c r="F4" s="6" t="n"/>
      <c r="G4" s="6" t="n"/>
      <c r="L4" t="n">
        <v>3.53</v>
      </c>
      <c r="M4" t="n">
        <v>4.39</v>
      </c>
      <c r="Q4" s="1" t="n"/>
      <c r="R4" t="n">
        <v>116630</v>
      </c>
      <c r="T4" t="n">
        <v>26.55</v>
      </c>
    </row>
    <row r="5">
      <c r="E5" s="6" t="n"/>
      <c r="F5" s="6" t="n"/>
      <c r="G5" s="6" t="n"/>
      <c r="L5" t="n">
        <v>3.61</v>
      </c>
      <c r="M5" t="n">
        <v>4.08</v>
      </c>
      <c r="Q5" s="1" t="n"/>
      <c r="R5" t="n">
        <v>117170</v>
      </c>
      <c r="T5" t="n">
        <v>26.45</v>
      </c>
    </row>
    <row r="6">
      <c r="L6" t="n">
        <v>3.69</v>
      </c>
      <c r="M6" t="n">
        <v>3.25</v>
      </c>
      <c r="Q6" s="1" t="n"/>
      <c r="R6" t="n">
        <v>117710</v>
      </c>
      <c r="T6" t="n">
        <v>26.48</v>
      </c>
    </row>
    <row r="7">
      <c r="L7" t="n">
        <v>3.77</v>
      </c>
      <c r="M7" t="n">
        <v>3.91</v>
      </c>
      <c r="Q7" s="1" t="n"/>
      <c r="R7" t="n">
        <v>118250</v>
      </c>
      <c r="T7" t="n">
        <v>26.55</v>
      </c>
    </row>
    <row r="8">
      <c r="L8" t="n">
        <v>3.85</v>
      </c>
      <c r="M8" t="n">
        <v>4.47</v>
      </c>
      <c r="Q8" s="1" t="n"/>
      <c r="R8" t="n">
        <v>118790</v>
      </c>
      <c r="T8" t="n">
        <v>26.42</v>
      </c>
    </row>
    <row r="9">
      <c r="L9" t="n">
        <v>3.93</v>
      </c>
      <c r="M9" t="n">
        <v>4.72</v>
      </c>
      <c r="Q9" s="1" t="n"/>
      <c r="R9" t="n">
        <v>118930</v>
      </c>
      <c r="T9" t="n">
        <v>25.35</v>
      </c>
    </row>
    <row r="10">
      <c r="L10" t="n">
        <v>4.01</v>
      </c>
      <c r="M10" t="n">
        <v>4.31</v>
      </c>
      <c r="Q10" s="1" t="n"/>
      <c r="R10" t="n">
        <v>119330</v>
      </c>
      <c r="T10" t="n">
        <v>26.58</v>
      </c>
    </row>
    <row r="11">
      <c r="L11" t="n">
        <v>4.09</v>
      </c>
      <c r="M11" t="n">
        <v>4.63</v>
      </c>
      <c r="Q11" s="1" t="n"/>
      <c r="R11" t="n">
        <v>119870</v>
      </c>
      <c r="T11" t="n">
        <v>26.52</v>
      </c>
    </row>
    <row r="12">
      <c r="Q12" s="1" t="n"/>
      <c r="R12" t="n">
        <v>120410</v>
      </c>
      <c r="T12" t="n">
        <v>26.64</v>
      </c>
    </row>
    <row r="13">
      <c r="Q13" s="1" t="n"/>
      <c r="R13" t="n">
        <v>120950</v>
      </c>
      <c r="T13" t="n">
        <v>26.55</v>
      </c>
    </row>
    <row r="14">
      <c r="Q14" s="1" t="n"/>
      <c r="R14" t="n">
        <v>121090</v>
      </c>
      <c r="T14" t="n">
        <v>25.72</v>
      </c>
    </row>
    <row r="15">
      <c r="Q15" s="1" t="n"/>
      <c r="R15" t="n">
        <v>121490</v>
      </c>
      <c r="T15" t="n">
        <v>26.55</v>
      </c>
    </row>
    <row r="16">
      <c r="Q16" s="1" t="n"/>
      <c r="R16" t="n">
        <v>122030</v>
      </c>
      <c r="T16" t="n">
        <v>26.52</v>
      </c>
    </row>
    <row r="17">
      <c r="Q17" s="1" t="n"/>
      <c r="R17" t="n">
        <v>122570</v>
      </c>
      <c r="T17" t="n">
        <v>26.55</v>
      </c>
    </row>
    <row r="18">
      <c r="Q18" s="1" t="n"/>
      <c r="R18" t="n">
        <v>123110</v>
      </c>
      <c r="T18" t="n">
        <v>26.61</v>
      </c>
    </row>
    <row r="19">
      <c r="Q19" s="1" t="n"/>
      <c r="R19" t="n">
        <v>123250</v>
      </c>
      <c r="T19" t="n">
        <v>26.15</v>
      </c>
    </row>
    <row r="20">
      <c r="Q20" s="1" t="n"/>
      <c r="R20" t="n">
        <v>123650</v>
      </c>
      <c r="T20" t="n">
        <v>26.55</v>
      </c>
    </row>
    <row r="21">
      <c r="Q21" s="1" t="n"/>
      <c r="R21" t="n">
        <v>124190</v>
      </c>
      <c r="T21" t="n">
        <v>26.64</v>
      </c>
    </row>
    <row r="22">
      <c r="Q22" s="1" t="n"/>
      <c r="R22" t="n">
        <v>124730</v>
      </c>
      <c r="T22" t="n">
        <v>26.67</v>
      </c>
    </row>
    <row r="23">
      <c r="Q23" s="1" t="n"/>
      <c r="R23" t="n">
        <v>125390</v>
      </c>
      <c r="T23" t="n">
        <v>26.61</v>
      </c>
    </row>
    <row r="24">
      <c r="Q24" s="1" t="n"/>
      <c r="R24" t="n">
        <v>125580</v>
      </c>
      <c r="T24" t="n">
        <v>26.1</v>
      </c>
    </row>
    <row r="25">
      <c r="Q25" s="1" t="n"/>
      <c r="R25" t="n">
        <v>126160</v>
      </c>
      <c r="T25" t="n">
        <v>26.64</v>
      </c>
    </row>
    <row r="26">
      <c r="Q26" s="1" t="n"/>
      <c r="R26" t="n">
        <v>126940</v>
      </c>
      <c r="T26" t="n">
        <v>26.55</v>
      </c>
    </row>
    <row r="27">
      <c r="Q27" s="1" t="n"/>
      <c r="R27" t="n">
        <v>127710</v>
      </c>
      <c r="T27" t="n">
        <v>26.58</v>
      </c>
    </row>
    <row r="28">
      <c r="Q28" s="1" t="n"/>
      <c r="R28" t="n">
        <v>128490</v>
      </c>
      <c r="T28" t="n">
        <v>26.64</v>
      </c>
    </row>
    <row r="29">
      <c r="Q29" s="1" t="n"/>
      <c r="R29" t="n">
        <v>128680</v>
      </c>
      <c r="T29" t="n">
        <v>26.2</v>
      </c>
    </row>
    <row r="30">
      <c r="Q30" s="1" t="n"/>
      <c r="R30" t="n">
        <v>129260</v>
      </c>
      <c r="T30" t="n">
        <v>26.58</v>
      </c>
    </row>
    <row r="31">
      <c r="Q31" s="1" t="n"/>
      <c r="R31" t="n">
        <v>130040</v>
      </c>
      <c r="T31" t="n">
        <v>26.58</v>
      </c>
    </row>
    <row r="32">
      <c r="Q32" s="1" t="n"/>
      <c r="R32" t="n">
        <v>131590</v>
      </c>
      <c r="T32" t="n">
        <v>26.39</v>
      </c>
    </row>
    <row r="33">
      <c r="Q33" s="1" t="n"/>
      <c r="R33" t="n">
        <v>131780</v>
      </c>
      <c r="T33" t="n">
        <v>26.54</v>
      </c>
    </row>
    <row r="34">
      <c r="Q34" s="1" t="n"/>
      <c r="R34" t="n">
        <v>133140</v>
      </c>
      <c r="T34" t="n">
        <v>25.91</v>
      </c>
    </row>
    <row r="35">
      <c r="Q35" s="1" t="n"/>
      <c r="R35" t="n">
        <v>134690</v>
      </c>
      <c r="T35" t="n">
        <v>25.42</v>
      </c>
    </row>
    <row r="36">
      <c r="Q36" s="1" t="n"/>
      <c r="R36" t="n">
        <v>136240</v>
      </c>
      <c r="T36" t="n">
        <v>25.24</v>
      </c>
    </row>
    <row r="37">
      <c r="Q37" s="1" t="n"/>
      <c r="R37" t="n">
        <v>137010</v>
      </c>
      <c r="T37" t="n">
        <v>25.3</v>
      </c>
    </row>
    <row r="38">
      <c r="Q38" s="1" t="n"/>
      <c r="R38" t="n">
        <v>137790</v>
      </c>
      <c r="T38" t="n">
        <v>25.12</v>
      </c>
    </row>
    <row r="39">
      <c r="Q39" s="1" t="n"/>
      <c r="R39" t="n">
        <v>137980</v>
      </c>
      <c r="T39" t="n">
        <v>25.14</v>
      </c>
    </row>
    <row r="40">
      <c r="Q40" s="1" t="n"/>
      <c r="R40" t="n">
        <v>139340</v>
      </c>
      <c r="T40" t="n">
        <v>25.73</v>
      </c>
    </row>
    <row r="41">
      <c r="Q41" s="1" t="n"/>
      <c r="R41" t="n">
        <v>140890</v>
      </c>
      <c r="T41" t="n">
        <v>25.33</v>
      </c>
    </row>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23.xml><?xml version="1.0" encoding="utf-8"?>
<worksheet xmlns="http://schemas.openxmlformats.org/spreadsheetml/2006/main">
  <sheetPr>
    <tabColor theme="6"/>
    <outlinePr summaryBelow="1" summaryRight="1"/>
    <pageSetUpPr/>
  </sheetPr>
  <dimension ref="A1:AB200"/>
  <sheetViews>
    <sheetView topLeftCell="M1" zoomScale="66" workbookViewId="0">
      <selection activeCell="N13" sqref="N13"/>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NH22P</t>
        </is>
      </c>
      <c r="B2" s="12" t="n">
        <v>-106.52</v>
      </c>
      <c r="C2" s="12" t="n">
        <v>22.52</v>
      </c>
      <c r="D2" s="10" t="inlineStr">
        <is>
          <t>UK37</t>
        </is>
      </c>
      <c r="E2" s="6" t="n"/>
      <c r="F2" s="6" t="n"/>
      <c r="G2" s="6" t="n"/>
      <c r="N2" t="n">
        <v>535.5</v>
      </c>
      <c r="O2" t="n">
        <v>0.852</v>
      </c>
      <c r="R2" t="n">
        <v>115140</v>
      </c>
      <c r="S2" s="1" t="n">
        <v>17.85</v>
      </c>
      <c r="T2" t="n">
        <v>23.95</v>
      </c>
      <c r="U2" s="1" t="n">
        <v>32.87</v>
      </c>
      <c r="V2" s="6" t="inlineStr">
        <is>
          <t>Meegan Kumar, Dervla; Tierney, Jessica E.; Bhattacharya, Tripti; Zhu, Jiang; Murray, James W. 2022. Glacial warming in the Eastern Pacific Warm Pool. Geophysical Research Letters, 49(10), e2022GL098830. doi: 10.1029/2022GL098830</t>
        </is>
      </c>
      <c r="W2" s="13" t="inlineStr">
        <is>
          <t>https://www.ncei.noaa.gov/pub/data/paleo/reconstructions/kumar2022/nh22p_kumar2022.txt</t>
        </is>
      </c>
      <c r="X2" s="6" t="inlineStr">
        <is>
          <t>Chronology more recent than ~54000 ka calibrated to Marine20 curve. Before ~54 ka, calibrated according to correlation to Lisiecki et al. 2005</t>
        </is>
      </c>
      <c r="Y2" s="6" t="inlineStr">
        <is>
          <t>Uk37: gas chromatography - flame ionization detection</t>
        </is>
      </c>
      <c r="Z2" t="n">
        <v>-2025</v>
      </c>
    </row>
    <row r="3">
      <c r="E3" s="6" t="n"/>
      <c r="F3" s="6" t="n"/>
      <c r="G3" s="6" t="n"/>
      <c r="N3" t="n">
        <v>539.5</v>
      </c>
      <c r="O3" t="n">
        <v>0.839</v>
      </c>
      <c r="R3" t="n">
        <v>116787</v>
      </c>
      <c r="S3" s="1" t="n">
        <v>17.64</v>
      </c>
      <c r="T3" t="n">
        <v>23.46</v>
      </c>
      <c r="U3" s="1" t="n">
        <v>31.26</v>
      </c>
    </row>
    <row r="4">
      <c r="E4" s="6" t="n"/>
      <c r="F4" s="6" t="n"/>
      <c r="G4" s="6" t="n"/>
      <c r="N4" t="n">
        <v>543.5</v>
      </c>
      <c r="O4" t="n">
        <v>0.836</v>
      </c>
      <c r="R4" t="n">
        <v>118411</v>
      </c>
      <c r="S4" s="1" t="n">
        <v>17.53</v>
      </c>
      <c r="T4" t="n">
        <v>23.37</v>
      </c>
      <c r="U4" s="1" t="n">
        <v>30.99</v>
      </c>
    </row>
    <row r="5">
      <c r="E5" s="6" t="n"/>
      <c r="F5" s="6" t="n"/>
      <c r="G5" s="6" t="n"/>
      <c r="N5" t="n">
        <v>546.5</v>
      </c>
      <c r="O5" t="n">
        <v>0.824</v>
      </c>
      <c r="R5" t="n">
        <v>119569</v>
      </c>
      <c r="S5" s="1" t="n">
        <v>17.24</v>
      </c>
      <c r="T5" t="n">
        <v>22.96</v>
      </c>
      <c r="U5" s="1" t="n">
        <v>30.06</v>
      </c>
    </row>
    <row r="6">
      <c r="N6" t="n">
        <v>561.5</v>
      </c>
      <c r="O6" t="n">
        <v>0.832</v>
      </c>
      <c r="R6" t="n">
        <v>123259</v>
      </c>
      <c r="S6" s="1" t="n">
        <v>17.33</v>
      </c>
      <c r="T6" t="n">
        <v>23.23</v>
      </c>
      <c r="U6" s="1" t="n">
        <v>30.83</v>
      </c>
    </row>
    <row r="7">
      <c r="N7" t="n">
        <v>565.5</v>
      </c>
      <c r="O7" t="n">
        <v>0.8149999999999999</v>
      </c>
      <c r="R7" t="n">
        <v>124280</v>
      </c>
      <c r="S7" s="1" t="n">
        <v>16.94</v>
      </c>
      <c r="T7" t="n">
        <v>22.66</v>
      </c>
      <c r="U7" s="1" t="n">
        <v>29.42</v>
      </c>
    </row>
    <row r="8">
      <c r="N8" t="n">
        <v>569.5</v>
      </c>
      <c r="O8" t="n">
        <v>0.794</v>
      </c>
      <c r="R8" t="n">
        <v>125279</v>
      </c>
      <c r="S8" s="1" t="n">
        <v>16.31</v>
      </c>
      <c r="T8" t="n">
        <v>21.99</v>
      </c>
      <c r="U8" s="1" t="n">
        <v>28.33</v>
      </c>
    </row>
    <row r="9">
      <c r="N9" t="n">
        <v>575.5</v>
      </c>
      <c r="O9" t="n">
        <v>0.781</v>
      </c>
      <c r="R9" t="n">
        <v>126780</v>
      </c>
      <c r="S9" s="1" t="n">
        <v>15.9</v>
      </c>
      <c r="T9" t="n">
        <v>21.58</v>
      </c>
      <c r="U9" s="1" t="n">
        <v>27.64</v>
      </c>
    </row>
    <row r="10">
      <c r="N10" t="n">
        <v>578.5</v>
      </c>
      <c r="O10" t="n">
        <v>0.778</v>
      </c>
      <c r="R10" t="n">
        <v>127503</v>
      </c>
      <c r="S10" s="1" t="n">
        <v>15.79</v>
      </c>
      <c r="T10" t="n">
        <v>21.49</v>
      </c>
      <c r="U10" s="1" t="n">
        <v>27.49</v>
      </c>
    </row>
    <row r="11">
      <c r="N11" t="n">
        <v>580.5</v>
      </c>
      <c r="O11" t="n">
        <v>0.767</v>
      </c>
      <c r="R11" t="n">
        <v>127985</v>
      </c>
      <c r="S11" s="1" t="n">
        <v>15.52</v>
      </c>
      <c r="T11" t="n">
        <v>21.18</v>
      </c>
      <c r="U11" s="1" t="n">
        <v>27.02</v>
      </c>
    </row>
    <row r="12">
      <c r="N12" t="n">
        <v>582.5</v>
      </c>
      <c r="O12" t="n">
        <v>0.754</v>
      </c>
      <c r="R12" t="n">
        <v>128463</v>
      </c>
      <c r="S12" s="1" t="n">
        <v>15.12</v>
      </c>
      <c r="T12" t="n">
        <v>20.76</v>
      </c>
      <c r="U12" s="1" t="n">
        <v>26.66</v>
      </c>
    </row>
    <row r="13">
      <c r="N13" t="n">
        <v>585.5</v>
      </c>
      <c r="O13" t="n">
        <v>0.75</v>
      </c>
      <c r="R13" t="n">
        <v>129173</v>
      </c>
      <c r="S13" s="1" t="n">
        <v>15.02</v>
      </c>
      <c r="T13" t="n">
        <v>20.64</v>
      </c>
      <c r="U13" s="1" t="n">
        <v>26.54</v>
      </c>
    </row>
    <row r="14">
      <c r="N14" t="n">
        <v>587.5</v>
      </c>
      <c r="O14" t="n">
        <v>0.764</v>
      </c>
      <c r="R14" t="n">
        <v>129660</v>
      </c>
      <c r="S14" s="1" t="n">
        <v>15.34</v>
      </c>
      <c r="T14" t="n">
        <v>21.08</v>
      </c>
      <c r="U14" s="1" t="n">
        <v>26.94</v>
      </c>
    </row>
    <row r="15">
      <c r="N15" t="n">
        <v>590.5</v>
      </c>
      <c r="O15" t="n">
        <v>0.751</v>
      </c>
      <c r="R15" t="n">
        <v>130333</v>
      </c>
      <c r="S15" s="1" t="n">
        <v>15</v>
      </c>
      <c r="T15" t="n">
        <v>20.68</v>
      </c>
      <c r="U15" s="1" t="n">
        <v>26.48</v>
      </c>
    </row>
    <row r="16">
      <c r="N16" t="n">
        <v>594.5</v>
      </c>
      <c r="O16" t="n">
        <v>0.749</v>
      </c>
      <c r="R16" t="n">
        <v>131230</v>
      </c>
      <c r="S16" s="1" t="n">
        <v>14.89</v>
      </c>
      <c r="T16" t="n">
        <v>20.61</v>
      </c>
      <c r="U16" s="1" t="n">
        <v>26.41</v>
      </c>
    </row>
    <row r="17">
      <c r="N17" t="n">
        <v>600.5</v>
      </c>
      <c r="O17" t="n">
        <v>0.734</v>
      </c>
      <c r="R17" t="n">
        <v>132521</v>
      </c>
      <c r="S17" s="1" t="n">
        <v>14.44</v>
      </c>
      <c r="T17" t="n">
        <v>20.16</v>
      </c>
      <c r="U17" s="1" t="n">
        <v>25.84</v>
      </c>
    </row>
    <row r="18">
      <c r="N18" t="n">
        <v>603.5</v>
      </c>
      <c r="O18" t="n">
        <v>0.74</v>
      </c>
      <c r="R18" t="n">
        <v>133158</v>
      </c>
      <c r="S18" s="1" t="n">
        <v>14.65</v>
      </c>
      <c r="T18" t="n">
        <v>20.35</v>
      </c>
      <c r="U18" s="1" t="n">
        <v>26.13</v>
      </c>
    </row>
    <row r="19">
      <c r="N19" t="n">
        <v>607.5</v>
      </c>
      <c r="O19" t="n">
        <v>0.742</v>
      </c>
      <c r="R19" t="n">
        <v>133999</v>
      </c>
      <c r="S19" s="1" t="n">
        <v>14.69</v>
      </c>
      <c r="T19" t="n">
        <v>20.39</v>
      </c>
      <c r="U19" s="1" t="n">
        <v>26.15</v>
      </c>
    </row>
    <row r="20">
      <c r="N20" t="n">
        <v>610.5</v>
      </c>
      <c r="O20" t="n">
        <v>0.757</v>
      </c>
      <c r="R20" t="n">
        <v>134589</v>
      </c>
      <c r="S20" s="1" t="n">
        <v>15.2</v>
      </c>
      <c r="T20" t="n">
        <v>20.86</v>
      </c>
      <c r="U20" s="1" t="n">
        <v>26.68</v>
      </c>
    </row>
    <row r="21">
      <c r="N21" t="n">
        <v>615.5</v>
      </c>
      <c r="O21" t="n">
        <v>0.767</v>
      </c>
      <c r="R21" t="n">
        <v>135558</v>
      </c>
      <c r="S21" s="1" t="n">
        <v>15.46</v>
      </c>
      <c r="T21" t="n">
        <v>21.16</v>
      </c>
      <c r="U21" s="1" t="n">
        <v>27.04</v>
      </c>
    </row>
    <row r="22">
      <c r="N22" t="n">
        <v>620.5</v>
      </c>
      <c r="O22" t="n">
        <v>0.76</v>
      </c>
      <c r="R22" t="n">
        <v>136542</v>
      </c>
      <c r="S22" s="1" t="n">
        <v>15.27</v>
      </c>
      <c r="T22" t="n">
        <v>20.95</v>
      </c>
      <c r="U22" s="1" t="n">
        <v>26.79</v>
      </c>
    </row>
    <row r="23">
      <c r="N23" t="n">
        <v>624.5</v>
      </c>
      <c r="O23" t="n">
        <v>0.792</v>
      </c>
      <c r="R23" t="n">
        <v>137329</v>
      </c>
      <c r="S23" s="1" t="n">
        <v>16.22</v>
      </c>
      <c r="T23" t="n">
        <v>21.94</v>
      </c>
      <c r="U23" s="1" t="n">
        <v>28.1</v>
      </c>
    </row>
    <row r="24">
      <c r="N24" t="n">
        <v>630.5</v>
      </c>
      <c r="O24" t="n">
        <v>0.77</v>
      </c>
      <c r="R24" t="n">
        <v>138522</v>
      </c>
      <c r="S24" s="1" t="n">
        <v>15.54</v>
      </c>
      <c r="T24" t="n">
        <v>21.24</v>
      </c>
      <c r="U24" s="1" t="n">
        <v>27.16</v>
      </c>
    </row>
    <row r="25">
      <c r="N25" t="n">
        <v>634.5</v>
      </c>
      <c r="O25" t="n">
        <v>0.779</v>
      </c>
      <c r="R25" t="n">
        <v>139295</v>
      </c>
      <c r="S25" s="1" t="n">
        <v>15.83</v>
      </c>
      <c r="T25" t="n">
        <v>21.53</v>
      </c>
      <c r="U25" s="1" t="n">
        <v>27.51</v>
      </c>
    </row>
    <row r="26">
      <c r="N26" t="n">
        <v>640.5</v>
      </c>
      <c r="O26" t="n">
        <v>0.774</v>
      </c>
      <c r="R26" t="n">
        <v>140475</v>
      </c>
      <c r="S26" s="1" t="n">
        <v>15.66</v>
      </c>
      <c r="T26" t="n">
        <v>21.4</v>
      </c>
      <c r="U26" s="1" t="n">
        <v>27.36</v>
      </c>
    </row>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24.xml><?xml version="1.0" encoding="utf-8"?>
<worksheet xmlns="http://schemas.openxmlformats.org/spreadsheetml/2006/main">
  <sheetPr>
    <tabColor theme="6"/>
    <outlinePr summaryBelow="1" summaryRight="1"/>
    <pageSetUpPr/>
  </sheetPr>
  <dimension ref="A1:AB200"/>
  <sheetViews>
    <sheetView topLeftCell="Q1" workbookViewId="0">
      <selection activeCell="W2" sqref="W2"/>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TR163-19</t>
        </is>
      </c>
      <c r="B2" s="12" t="n">
        <v>-90.95</v>
      </c>
      <c r="C2" s="12" t="n">
        <v>2.25</v>
      </c>
      <c r="D2" s="10" t="inlineStr">
        <is>
          <t>MgCa</t>
        </is>
      </c>
      <c r="E2" s="6" t="n"/>
      <c r="F2" s="6" t="n"/>
      <c r="G2" s="6" t="n"/>
      <c r="N2" t="n">
        <v>374</v>
      </c>
      <c r="O2" t="n">
        <v>2.698</v>
      </c>
      <c r="P2" s="6" t="n">
        <v>24.8</v>
      </c>
      <c r="R2" t="n">
        <v>116400</v>
      </c>
      <c r="S2" s="1">
        <f>T2-0.6</f>
        <v/>
      </c>
      <c r="T2" s="6" t="n">
        <v>24.8</v>
      </c>
      <c r="U2" s="1">
        <f> T2+0.6</f>
        <v/>
      </c>
      <c r="V2" s="13" t="inlineStr">
        <is>
          <t>Lea, D.W. 2004. The 100,000 year cycle in tropical SST, greenhouse forcing, and climate sensitivity. Journal of Climate, 17(11), 2170-2179. doi: 10.1175/1520-0442(2004)017&lt;2170:TYCITS&gt;2.0.CO;2</t>
        </is>
      </c>
      <c r="W2" s="13" t="inlineStr">
        <is>
          <t>https://www.ncei.noaa.gov/pub/data/paleo/contributions_by_author/lea2004/lea2004.txt</t>
        </is>
      </c>
      <c r="X2" s="6" t="inlineStr">
        <is>
          <t xml:space="preserve">Conversion of core depth to age is based on the 
timescale for core V19-30 in Shackleton (2000). 
Benthic O18 from TR163-19 was tied to V19-30 O18. 
A calibrated radiocarbon age was used for the core-top only. </t>
        </is>
      </c>
      <c r="Y2" s="6" t="inlineStr">
        <is>
          <t>Cocos Ridge, Eastern tropical Pacific, foraminiferal Mg/Ca and SST reconstruction.
Mg/Ca data on cleaned G. ruber shells by ICP-MS, 417 individual data points 
from Lea et al. 2000, and 76 new data points from 39 depth intervals, 
total data points 493, total depth intervals 208. 
SST estimates based on depth/basin-corrected calibration in Dekens et al., 2002: 
SST(deg C) = LN((Mg/Ca-m)/0.38)/0.09+0.61*2.348+1.6
Data precision: Mg/Ca, ±2.1%; SST (est.), ±0.6°C</t>
        </is>
      </c>
      <c r="Z2" t="n">
        <v>-2348</v>
      </c>
    </row>
    <row r="3">
      <c r="E3" s="6" t="n"/>
      <c r="F3" s="6" t="n"/>
      <c r="G3" s="6" t="n"/>
      <c r="N3" t="n">
        <v>379</v>
      </c>
      <c r="O3" t="n">
        <v>3.13</v>
      </c>
      <c r="P3" s="6" t="n">
        <v>26.5</v>
      </c>
      <c r="R3" t="n">
        <v>119000</v>
      </c>
      <c r="S3" s="1">
        <f>T3-0.6</f>
        <v/>
      </c>
      <c r="T3" s="6" t="n">
        <v>26.5</v>
      </c>
      <c r="U3" s="1">
        <f> T3+0.6</f>
        <v/>
      </c>
    </row>
    <row r="4">
      <c r="E4" s="6" t="n"/>
      <c r="F4" s="6" t="n"/>
      <c r="G4" s="6" t="n"/>
      <c r="N4" t="n">
        <v>384</v>
      </c>
      <c r="O4" t="n">
        <v>3.091</v>
      </c>
      <c r="P4" s="6" t="n">
        <v>26.3</v>
      </c>
      <c r="R4" t="n">
        <v>121500</v>
      </c>
      <c r="S4" s="1">
        <f>T4-0.6</f>
        <v/>
      </c>
      <c r="T4" s="6" t="n">
        <v>26.3</v>
      </c>
      <c r="U4" s="1">
        <f> T4+0.6</f>
        <v/>
      </c>
    </row>
    <row r="5">
      <c r="E5" s="6" t="n"/>
      <c r="F5" s="6" t="n"/>
      <c r="G5" s="6" t="n"/>
      <c r="N5" t="n">
        <v>389</v>
      </c>
      <c r="O5" t="n">
        <v>3.385</v>
      </c>
      <c r="P5" s="6" t="n">
        <v>27.3</v>
      </c>
      <c r="R5" t="n">
        <v>124000</v>
      </c>
      <c r="S5" s="1">
        <f>T5-0.6</f>
        <v/>
      </c>
      <c r="T5" s="6" t="n">
        <v>27.3</v>
      </c>
      <c r="U5" s="1">
        <f> T5+0.6</f>
        <v/>
      </c>
    </row>
    <row r="6">
      <c r="N6" t="n">
        <v>394</v>
      </c>
      <c r="O6" t="n">
        <v>3.59</v>
      </c>
      <c r="P6" s="6" t="n">
        <v>28</v>
      </c>
      <c r="R6" t="n">
        <v>125400</v>
      </c>
      <c r="S6" s="1">
        <f>T6-0.6</f>
        <v/>
      </c>
      <c r="T6" s="6" t="n">
        <v>28</v>
      </c>
      <c r="U6" s="1">
        <f> T6+0.6</f>
        <v/>
      </c>
    </row>
    <row r="7">
      <c r="N7" t="n">
        <v>399</v>
      </c>
      <c r="O7" t="n">
        <v>3.621</v>
      </c>
      <c r="P7" s="6" t="n">
        <v>28.1</v>
      </c>
      <c r="Q7" s="1" t="n"/>
      <c r="R7" t="n">
        <v>126800</v>
      </c>
      <c r="S7" s="1">
        <f>T7-0.6</f>
        <v/>
      </c>
      <c r="T7" s="6" t="n">
        <v>28.1</v>
      </c>
      <c r="U7" s="1">
        <f> T7+0.6</f>
        <v/>
      </c>
    </row>
    <row r="8" ht="17" customHeight="1" s="29">
      <c r="M8" s="18" t="n"/>
      <c r="N8" t="n">
        <v>404</v>
      </c>
      <c r="O8" t="n">
        <v>3.614</v>
      </c>
      <c r="P8" s="6" t="n">
        <v>28.1</v>
      </c>
      <c r="R8" t="n">
        <v>128200</v>
      </c>
      <c r="S8" s="1">
        <f>T8-0.6</f>
        <v/>
      </c>
      <c r="T8" s="6" t="n">
        <v>28.1</v>
      </c>
      <c r="U8" s="1">
        <f> T8+0.6</f>
        <v/>
      </c>
    </row>
    <row r="9">
      <c r="M9" s="17" t="n"/>
      <c r="N9" t="n">
        <v>409</v>
      </c>
      <c r="O9" t="n">
        <v>3.158</v>
      </c>
      <c r="P9" s="6" t="n">
        <v>26.6</v>
      </c>
      <c r="R9" t="n">
        <v>129600</v>
      </c>
      <c r="S9" s="1">
        <f>T9-0.6</f>
        <v/>
      </c>
      <c r="T9" s="6" t="n">
        <v>26.6</v>
      </c>
      <c r="U9" s="1">
        <f> T9+0.6</f>
        <v/>
      </c>
    </row>
    <row r="10">
      <c r="M10" s="17" t="n"/>
      <c r="N10" t="n">
        <v>414</v>
      </c>
      <c r="O10" t="n">
        <v>3.367</v>
      </c>
      <c r="P10" s="6" t="n">
        <v>27.3</v>
      </c>
      <c r="R10" t="n">
        <v>131000</v>
      </c>
      <c r="S10" s="1">
        <f>T10-0.6</f>
        <v/>
      </c>
      <c r="T10" s="6" t="n">
        <v>27.3</v>
      </c>
      <c r="U10" s="1">
        <f> T10+0.6</f>
        <v/>
      </c>
    </row>
    <row r="11">
      <c r="M11" s="17" t="n"/>
      <c r="N11" t="n">
        <v>419</v>
      </c>
      <c r="O11" t="n">
        <v>3.058</v>
      </c>
      <c r="P11" s="6" t="n">
        <v>26.2</v>
      </c>
      <c r="R11" t="n">
        <v>132700</v>
      </c>
      <c r="S11" s="1">
        <f>T11-0.6</f>
        <v/>
      </c>
      <c r="T11" s="6" t="n">
        <v>26.2</v>
      </c>
      <c r="U11" s="1">
        <f> T11+0.6</f>
        <v/>
      </c>
    </row>
    <row r="12">
      <c r="M12" s="17" t="n"/>
      <c r="N12" t="n">
        <v>423</v>
      </c>
      <c r="O12" t="n">
        <v>2.796</v>
      </c>
      <c r="P12" s="6" t="n">
        <v>25.2</v>
      </c>
      <c r="R12" t="n">
        <v>134100</v>
      </c>
      <c r="S12" s="1">
        <f>T12-0.6</f>
        <v/>
      </c>
      <c r="T12" s="6" t="n">
        <v>25.2</v>
      </c>
      <c r="U12" s="1">
        <f> T12+0.6</f>
        <v/>
      </c>
    </row>
    <row r="13">
      <c r="N13" t="n">
        <v>429</v>
      </c>
      <c r="O13" t="n">
        <v>2.522</v>
      </c>
      <c r="P13" s="6" t="n">
        <v>24.1</v>
      </c>
      <c r="R13" t="n">
        <v>136200</v>
      </c>
      <c r="S13" s="1">
        <f>T13-0.6</f>
        <v/>
      </c>
      <c r="T13" s="6" t="n">
        <v>24.1</v>
      </c>
      <c r="U13" s="1">
        <f> T13+0.6</f>
        <v/>
      </c>
    </row>
    <row r="14" ht="17" customHeight="1" s="29">
      <c r="M14" s="26" t="n"/>
      <c r="N14" t="n">
        <v>434</v>
      </c>
      <c r="O14" t="n">
        <v>2.605</v>
      </c>
      <c r="P14" s="6" t="n">
        <v>24.4</v>
      </c>
      <c r="R14" t="n">
        <v>138000</v>
      </c>
      <c r="S14" s="1">
        <f>T14-0.6</f>
        <v/>
      </c>
      <c r="T14" s="6" t="n">
        <v>24.4</v>
      </c>
      <c r="U14" s="1">
        <f> T14+0.6</f>
        <v/>
      </c>
    </row>
    <row r="15" ht="17" customHeight="1" s="29">
      <c r="M15" s="26" t="n"/>
      <c r="N15" t="n">
        <v>439</v>
      </c>
      <c r="O15" t="n">
        <v>2.491</v>
      </c>
      <c r="P15" s="6" t="n">
        <v>23.9</v>
      </c>
      <c r="R15" t="n">
        <v>139700</v>
      </c>
      <c r="S15" s="1">
        <f>T15-0.6</f>
        <v/>
      </c>
      <c r="T15" s="6" t="n">
        <v>23.9</v>
      </c>
      <c r="U15" s="1">
        <f> T15+0.6</f>
        <v/>
      </c>
    </row>
    <row r="16" ht="17" customHeight="1" s="29">
      <c r="M16" s="26" t="n"/>
    </row>
    <row r="17" ht="17" customHeight="1" s="29">
      <c r="M17" s="26" t="n"/>
    </row>
    <row r="18" ht="17" customHeight="1" s="29">
      <c r="M18" s="26" t="n"/>
    </row>
    <row r="19" ht="17" customHeight="1" s="29">
      <c r="M19" s="26" t="n"/>
    </row>
    <row r="20" ht="17" customHeight="1" s="29">
      <c r="M20" s="26" t="n"/>
    </row>
    <row r="21" ht="17" customHeight="1" s="29">
      <c r="M21" s="26" t="n"/>
    </row>
    <row r="22" ht="17" customHeight="1" s="29">
      <c r="M22" s="26" t="n"/>
    </row>
    <row r="23" ht="17" customHeight="1" s="29">
      <c r="M23" s="26" t="n"/>
    </row>
    <row r="24" ht="17" customHeight="1" s="29">
      <c r="M24" s="26" t="n"/>
    </row>
    <row r="25" ht="17" customHeight="1" s="29">
      <c r="M25" s="26" t="n"/>
    </row>
    <row r="26" ht="17" customHeight="1" s="29">
      <c r="M26" s="26" t="n"/>
    </row>
    <row r="27" ht="17" customHeight="1" s="29">
      <c r="M27" s="26" t="n"/>
    </row>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25.xml><?xml version="1.0" encoding="utf-8"?>
<worksheet xmlns="http://schemas.openxmlformats.org/spreadsheetml/2006/main">
  <sheetPr>
    <tabColor rgb="FF0000FF"/>
    <outlinePr summaryBelow="1" summaryRight="1"/>
    <pageSetUpPr/>
  </sheetPr>
  <dimension ref="A1:AB200"/>
  <sheetViews>
    <sheetView topLeftCell="O1" zoomScale="75" workbookViewId="0">
      <selection activeCell="X3" sqref="X3"/>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SK157-4</t>
        </is>
      </c>
      <c r="B2" s="12" t="n">
        <v>78</v>
      </c>
      <c r="C2" s="12" t="n">
        <v>2.67</v>
      </c>
      <c r="D2" s="10" t="inlineStr">
        <is>
          <t>MgCa</t>
        </is>
      </c>
      <c r="E2" s="6" t="n"/>
      <c r="F2" s="6" t="n"/>
      <c r="G2" s="6" t="n"/>
      <c r="N2" t="n">
        <v>232</v>
      </c>
      <c r="O2" t="n">
        <v>3.858</v>
      </c>
      <c r="P2" s="1" t="n"/>
      <c r="Q2" s="1" t="n"/>
      <c r="R2" s="1" t="n">
        <v>116133.3</v>
      </c>
      <c r="S2" s="1" t="n"/>
      <c r="T2" t="n">
        <v>27.886</v>
      </c>
      <c r="U2" s="1" t="n"/>
      <c r="V2" s="6" t="inlineStr">
        <is>
          <t>Saraswat, R., R. Nigam, S. Weldeab, A. Mackensen, and P.D. Naidu. 2005. A first look at past sea surface temperatures in the equatorial Indian Ocean from Mg/Ca in foraminifera. Geophysical Research Letters, 32(24), L24605. doi: 10.1029/2005GL024093</t>
        </is>
      </c>
      <c r="W2" s="13" t="inlineStr">
        <is>
          <t>https://www.ncei.noaa.gov/pub/data/paleo/paleocean/sediment_files/complete/sk157_4-tab.txt</t>
        </is>
      </c>
      <c r="X2" s="6" t="inlineStr">
        <is>
          <t>Radiocarbon years B.P. (Libby half-life; B.P. = 1950)</t>
        </is>
      </c>
      <c r="Y2" s="6" t="inlineStr">
        <is>
          <t>The Mg/Ca ratio was converted to SST using the depth corrected G. ruber Mg/Ca-SST calibration of Dekens et al. [2002]: (Mg/Ca = 0.38 exp 0.09 [SST - 0.61 (core depth km)]).</t>
        </is>
      </c>
      <c r="Z2" t="n">
        <v>-3500</v>
      </c>
    </row>
    <row r="3">
      <c r="E3" s="6" t="n"/>
      <c r="F3" s="6" t="n"/>
      <c r="G3" s="6" t="n"/>
      <c r="N3" t="n">
        <v>234</v>
      </c>
      <c r="O3" t="n">
        <v>4.098</v>
      </c>
      <c r="P3" s="1" t="n"/>
      <c r="Q3" s="1" t="n"/>
      <c r="R3" s="1" t="n">
        <v>117600</v>
      </c>
      <c r="S3" s="1" t="n"/>
      <c r="T3" t="n">
        <v>28.557</v>
      </c>
      <c r="U3" s="1" t="n"/>
    </row>
    <row r="4">
      <c r="E4" s="6" t="n"/>
      <c r="F4" s="6" t="n"/>
      <c r="G4" s="6" t="n"/>
      <c r="N4" t="n">
        <v>236</v>
      </c>
      <c r="O4" t="n">
        <v>4.46</v>
      </c>
      <c r="P4" s="1" t="n"/>
      <c r="Q4" s="1" t="n"/>
      <c r="R4" s="1" t="n">
        <v>119066.7</v>
      </c>
      <c r="S4" s="1" t="n"/>
      <c r="T4" t="n">
        <v>29.499</v>
      </c>
      <c r="U4" s="1" t="n"/>
    </row>
    <row r="5">
      <c r="E5" s="6" t="n"/>
      <c r="F5" s="6" t="n"/>
      <c r="G5" s="6" t="n"/>
      <c r="N5" t="n">
        <v>238</v>
      </c>
      <c r="O5" t="n">
        <v>4.007</v>
      </c>
      <c r="P5" s="1" t="n"/>
      <c r="Q5" s="1" t="n"/>
      <c r="R5" s="1" t="n">
        <v>120533.3</v>
      </c>
      <c r="S5" s="1" t="n"/>
      <c r="T5" t="n">
        <v>28.308</v>
      </c>
      <c r="U5" s="1" t="n"/>
    </row>
    <row r="6">
      <c r="N6" t="n">
        <v>240</v>
      </c>
      <c r="O6" t="n">
        <v>4.637</v>
      </c>
      <c r="P6" s="1" t="n"/>
      <c r="Q6" s="1" t="n"/>
      <c r="R6" s="1" t="n">
        <v>122000</v>
      </c>
      <c r="S6" s="1" t="n"/>
      <c r="T6" t="n">
        <v>29.932</v>
      </c>
      <c r="U6" s="1" t="n"/>
    </row>
    <row r="7">
      <c r="N7" t="n">
        <v>244</v>
      </c>
      <c r="O7" t="n">
        <v>4.345</v>
      </c>
      <c r="P7" s="1" t="n"/>
      <c r="Q7" s="1" t="n"/>
      <c r="R7" s="1" t="n">
        <v>124000</v>
      </c>
      <c r="S7" s="1" t="n"/>
      <c r="T7" t="n">
        <v>29.207</v>
      </c>
      <c r="U7" s="1" t="n"/>
    </row>
    <row r="8">
      <c r="N8" t="n">
        <v>246</v>
      </c>
      <c r="O8" t="n">
        <v>4.075</v>
      </c>
      <c r="P8" s="1" t="n"/>
      <c r="Q8" s="1" t="n"/>
      <c r="R8" s="1" t="n">
        <v>125000</v>
      </c>
      <c r="S8" s="1" t="n"/>
      <c r="T8" t="n">
        <v>28.496</v>
      </c>
      <c r="U8" s="1" t="n"/>
    </row>
    <row r="9">
      <c r="N9" t="n">
        <v>248</v>
      </c>
      <c r="O9" t="n">
        <v>4.212</v>
      </c>
      <c r="P9" s="1" t="n"/>
      <c r="Q9" s="1" t="n"/>
      <c r="R9" s="1" t="n">
        <v>126000</v>
      </c>
      <c r="S9" s="1" t="n"/>
      <c r="T9" t="n">
        <v>28.864</v>
      </c>
      <c r="U9" s="1" t="n"/>
    </row>
    <row r="10">
      <c r="N10" t="n">
        <v>250</v>
      </c>
      <c r="O10" t="n">
        <v>4.068</v>
      </c>
      <c r="P10" s="1" t="n"/>
      <c r="Q10" s="1" t="n"/>
      <c r="R10" s="1" t="n">
        <v>127000</v>
      </c>
      <c r="S10" s="1" t="n"/>
      <c r="T10" t="n">
        <v>28.477</v>
      </c>
      <c r="U10" s="1" t="n"/>
    </row>
    <row r="11">
      <c r="N11" t="n">
        <v>252</v>
      </c>
      <c r="O11" t="n">
        <v>3.819</v>
      </c>
      <c r="P11" s="1" t="n"/>
      <c r="Q11" s="1" t="n"/>
      <c r="R11" s="1" t="n">
        <v>128333.3</v>
      </c>
      <c r="S11" s="1" t="n"/>
      <c r="T11" t="n">
        <v>27.776</v>
      </c>
      <c r="U11" s="1" t="n"/>
    </row>
    <row r="12">
      <c r="N12" t="n">
        <v>254</v>
      </c>
      <c r="O12" t="n">
        <v>3.866</v>
      </c>
      <c r="P12" s="1" t="n"/>
      <c r="Q12" s="1" t="n"/>
      <c r="R12" s="1" t="n">
        <v>129666.7</v>
      </c>
      <c r="S12" s="1" t="n"/>
      <c r="T12" t="n">
        <v>27.91</v>
      </c>
      <c r="U12" s="1" t="n"/>
    </row>
    <row r="13">
      <c r="N13" t="n">
        <v>256</v>
      </c>
      <c r="O13" t="n">
        <v>3.691</v>
      </c>
      <c r="P13" s="1" t="n"/>
      <c r="Q13" s="1" t="n"/>
      <c r="R13" s="1" t="n">
        <v>131000</v>
      </c>
      <c r="S13" s="1" t="n"/>
      <c r="T13" t="n">
        <v>27.397</v>
      </c>
      <c r="U13" s="1" t="n"/>
    </row>
    <row r="14">
      <c r="N14" t="n">
        <v>258</v>
      </c>
      <c r="O14" t="n">
        <v>3.647</v>
      </c>
      <c r="P14" s="1" t="n"/>
      <c r="Q14" s="1" t="n"/>
      <c r="R14" s="1" t="n">
        <v>131800</v>
      </c>
      <c r="S14" s="1" t="n"/>
      <c r="T14" t="n">
        <v>27.262</v>
      </c>
      <c r="U14" s="1" t="n"/>
    </row>
    <row r="15">
      <c r="N15" t="n">
        <v>260</v>
      </c>
      <c r="O15" t="n">
        <v>3.658</v>
      </c>
      <c r="P15" s="1" t="n"/>
      <c r="Q15" s="1" t="n"/>
      <c r="R15" s="1" t="n">
        <v>132600</v>
      </c>
      <c r="S15" s="1" t="n"/>
      <c r="T15" t="n">
        <v>27.296</v>
      </c>
      <c r="U15" s="1" t="n"/>
    </row>
    <row r="16">
      <c r="N16" t="n">
        <v>262</v>
      </c>
      <c r="O16" t="n">
        <v>3.876</v>
      </c>
      <c r="P16" s="1" t="n"/>
      <c r="Q16" s="1" t="n"/>
      <c r="R16" s="1" t="n">
        <v>133400</v>
      </c>
      <c r="S16" s="1" t="n"/>
      <c r="T16" t="n">
        <v>27.94</v>
      </c>
      <c r="U16" s="1" t="n"/>
    </row>
    <row r="17">
      <c r="N17" t="n">
        <v>264</v>
      </c>
      <c r="O17" t="n">
        <v>3.691</v>
      </c>
      <c r="P17" s="1" t="n"/>
      <c r="Q17" s="1" t="n"/>
      <c r="R17" s="1" t="n">
        <v>134200</v>
      </c>
      <c r="S17" s="1" t="n"/>
      <c r="T17" t="n">
        <v>27.396</v>
      </c>
      <c r="U17" s="1" t="n"/>
    </row>
    <row r="18">
      <c r="N18" t="n">
        <v>266</v>
      </c>
      <c r="O18" t="n">
        <v>3.67</v>
      </c>
      <c r="P18" s="1" t="n"/>
      <c r="Q18" s="1" t="n"/>
      <c r="R18" s="1" t="n">
        <v>135000</v>
      </c>
      <c r="S18" s="1" t="n"/>
      <c r="T18" t="n">
        <v>27.331</v>
      </c>
      <c r="U18" s="1" t="n"/>
    </row>
    <row r="19">
      <c r="N19" t="n">
        <v>268</v>
      </c>
      <c r="O19" t="n">
        <v>3.752</v>
      </c>
      <c r="P19" s="1" t="n"/>
      <c r="Q19" s="1" t="n"/>
      <c r="R19" s="1" t="n">
        <v>136166.7</v>
      </c>
      <c r="S19" s="1" t="n"/>
      <c r="T19" t="n">
        <v>27.578</v>
      </c>
      <c r="U19" s="1" t="n"/>
    </row>
    <row r="20">
      <c r="N20" t="n">
        <v>270</v>
      </c>
      <c r="O20" t="n">
        <v>3.627</v>
      </c>
      <c r="P20" s="1" t="n"/>
      <c r="Q20" s="1" t="n"/>
      <c r="R20" s="1" t="n">
        <v>137333.3</v>
      </c>
      <c r="S20" s="1" t="n"/>
      <c r="T20" t="n">
        <v>27.202</v>
      </c>
      <c r="U20" s="1" t="n"/>
    </row>
    <row r="21">
      <c r="N21" s="1" t="n"/>
      <c r="O21" s="1" t="n"/>
      <c r="P21" s="1" t="n"/>
      <c r="Q21" s="1" t="n"/>
      <c r="R21" s="1" t="n"/>
      <c r="S21" s="1" t="n"/>
      <c r="T21" s="1" t="n"/>
      <c r="U21" s="1" t="n"/>
    </row>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26.xml><?xml version="1.0" encoding="utf-8"?>
<worksheet xmlns="http://schemas.openxmlformats.org/spreadsheetml/2006/main">
  <sheetPr>
    <outlinePr summaryBelow="1" summaryRight="1"/>
    <pageSetUpPr/>
  </sheetPr>
  <dimension ref="A1:Z5"/>
  <sheetViews>
    <sheetView zoomScale="50" workbookViewId="0">
      <selection activeCell="C12" sqref="C12"/>
    </sheetView>
  </sheetViews>
  <sheetFormatPr baseColWidth="10" defaultColWidth="13.42578125" defaultRowHeight="16"/>
  <cols>
    <col width="13.42578125" customWidth="1" style="6" min="1" max="4"/>
    <col hidden="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n"/>
      <c r="B2" s="10" t="n"/>
      <c r="C2" s="10" t="n"/>
      <c r="D2" s="10" t="n"/>
      <c r="E2" s="6" t="n"/>
      <c r="F2" s="6" t="n"/>
      <c r="G2" s="6" t="n"/>
    </row>
    <row r="3">
      <c r="E3" s="6" t="n"/>
      <c r="F3" s="6" t="n"/>
      <c r="G3" s="6" t="n"/>
    </row>
    <row r="4">
      <c r="E4" s="6" t="n"/>
      <c r="F4" s="6" t="n"/>
      <c r="G4" s="6" t="n"/>
    </row>
    <row r="5">
      <c r="E5" s="6" t="n"/>
      <c r="F5" s="6" t="n"/>
      <c r="G5" s="6" t="n"/>
    </row>
  </sheetData>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Jeremy Hoffman</dc:creator>
  <dcterms:created xmlns:dcterms="http://purl.org/dc/terms/" xmlns:xsi="http://www.w3.org/2001/XMLSchema-instance" xsi:type="dcterms:W3CDTF">2016-07-29T21:52:57Z</dcterms:created>
  <dcterms:modified xmlns:dcterms="http://purl.org/dc/terms/" xmlns:xsi="http://www.w3.org/2001/XMLSchema-instance" xsi:type="dcterms:W3CDTF">2026-07-20T17:55:29Z</dcterms:modified>
  <cp:lastModifiedBy>Anna Chen</cp:lastModifiedBy>
  <cp:lastPrinted>2016-08-02T02:10:43Z</cp:lastPrinted>
</cp:coreProperties>
</file>